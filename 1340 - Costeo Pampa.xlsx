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masi.sharepoint.com/sites/EstudioPropuestas2026/Documentos compartidos/1340-PAMPA-OBRAS CIVILES MENORES/02-OC/"/>
    </mc:Choice>
  </mc:AlternateContent>
  <xr:revisionPtr revIDLastSave="579" documentId="8_{DB102B53-EEA9-414F-99FA-196168ED879A}" xr6:coauthVersionLast="47" xr6:coauthVersionMax="47" xr10:uidLastSave="{9C4A20E5-26DB-47F7-9980-2A67EB9D5F9F}"/>
  <bookViews>
    <workbookView xWindow="-108" yWindow="-108" windowWidth="23256" windowHeight="12456" tabRatio="642" firstSheet="2" activeTab="2" xr2:uid="{00000000-000D-0000-FFFF-FFFF00000000}"/>
  </bookViews>
  <sheets>
    <sheet name="Hoja de CIERRE" sheetId="76" r:id="rId1"/>
    <sheet name="Sintesis Economica" sheetId="72" r:id="rId2"/>
    <sheet name="Presupuesto de VENTA" sheetId="84" r:id="rId3"/>
    <sheet name="Presupuesto Interno" sheetId="85" r:id="rId4"/>
    <sheet name="1 MANO DE OBRA" sheetId="87" r:id="rId5"/>
    <sheet name="COSTO UNIT.MO_UOM_CAT-GRAL" sheetId="86" r:id="rId6"/>
    <sheet name="COSTO MO FC" sheetId="80" r:id="rId7"/>
    <sheet name="2 SUMINISTRO DE MATERIALES" sheetId="71" r:id="rId8"/>
    <sheet name="3 SUMINISTRO DE INSUMOS" sheetId="57" r:id="rId9"/>
    <sheet name="4 SUBCONTRATACIONES" sheetId="65" r:id="rId10"/>
    <sheet name="5 AMORTIZACIÓN" sheetId="54" r:id="rId11"/>
    <sheet name="Equipos" sheetId="95" r:id="rId12"/>
  </sheets>
  <externalReferences>
    <externalReference r:id="rId13"/>
  </externalReferences>
  <definedNames>
    <definedName name="_Toc26271466" localSheetId="11">Equipos!$G$35</definedName>
    <definedName name="_xlnm.Print_Area" localSheetId="4">'1 MANO DE OBRA'!$B$1:$L$69</definedName>
    <definedName name="_xlnm.Print_Area" localSheetId="7">'2 SUMINISTRO DE MATERIALES'!$B$1:$G$51</definedName>
    <definedName name="_xlnm.Print_Area" localSheetId="8">'3 SUMINISTRO DE INSUMOS'!$B$1:$G$97</definedName>
    <definedName name="_xlnm.Print_Area" localSheetId="9">'4 SUBCONTRATACIONES'!$B$1:$F$111</definedName>
    <definedName name="_xlnm.Print_Area" localSheetId="10">'5 AMORTIZACIÓN'!$B$1:$K$91</definedName>
    <definedName name="_xlnm.Print_Area" localSheetId="6">'COSTO MO FC'!$B$2:$AJ$17</definedName>
    <definedName name="_xlnm.Print_Area" localSheetId="5">'COSTO UNIT.MO_UOM_CAT-GRAL'!$A$1:$T$110</definedName>
    <definedName name="_xlnm.Print_Area" localSheetId="0">'Hoja de CIERRE'!$B$1:$AG$73</definedName>
    <definedName name="_xlnm.Print_Area" localSheetId="2">'Presupuesto de VENTA'!$B$1:$J$96</definedName>
    <definedName name="_xlnm.Print_Area" localSheetId="3">'Presupuesto Interno'!$A$1:$G$97</definedName>
    <definedName name="_xlnm.Print_Area" localSheetId="1">'Sintesis Economica'!$A$1:$K$69</definedName>
    <definedName name="HOMOL" localSheetId="4">'[1]TABLA DE NOMBRES'!#REF!</definedName>
    <definedName name="HOMOL" localSheetId="5">'[1]TABLA DE NOMBRES'!#REF!</definedName>
    <definedName name="HOMOL">'[1]TABLA DE NOMBRES'!#REF!</definedName>
    <definedName name="_xlnm.Print_Titles" localSheetId="5">'COSTO UNIT.MO_UOM_CAT-GRAL'!$A:$D</definedName>
    <definedName name="_xlnm.Print_Titles" localSheetId="0">'Hoja de CIERRE'!$1:$9</definedName>
    <definedName name="_xlnm.Print_Titles" localSheetId="2">'Presupuesto de VENTA'!$1:$6</definedName>
    <definedName name="_xlnm.Print_Titles" localSheetId="3">'Presupuesto Interno'!$1:$6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57" l="1"/>
  <c r="C18" i="87"/>
  <c r="C10" i="80"/>
  <c r="C8" i="80"/>
  <c r="E27" i="86"/>
  <c r="G27" i="86"/>
  <c r="D72" i="57"/>
  <c r="C11" i="80"/>
  <c r="C15" i="80"/>
  <c r="C14" i="80"/>
  <c r="C13" i="80"/>
  <c r="C12" i="80"/>
  <c r="C9" i="80"/>
  <c r="E43" i="57"/>
  <c r="E74" i="85"/>
  <c r="A11" i="80"/>
  <c r="E10" i="86"/>
  <c r="E16" i="86" s="1"/>
  <c r="B17" i="87"/>
  <c r="B18" i="87"/>
  <c r="B19" i="87"/>
  <c r="D74" i="57"/>
  <c r="I22" i="86"/>
  <c r="I16" i="86"/>
  <c r="I20" i="86" s="1"/>
  <c r="G16" i="86"/>
  <c r="G20" i="86" s="1"/>
  <c r="B12" i="86" l="1"/>
  <c r="B13" i="86" s="1"/>
  <c r="B14" i="86" s="1"/>
  <c r="E21" i="86"/>
  <c r="E20" i="86"/>
  <c r="G22" i="86"/>
  <c r="I21" i="86"/>
  <c r="G21" i="86"/>
  <c r="E22" i="86"/>
  <c r="D63" i="86"/>
  <c r="N11" i="84"/>
  <c r="N12" i="84"/>
  <c r="N13" i="84"/>
  <c r="O13" i="86"/>
  <c r="M13" i="86"/>
  <c r="E75" i="85" l="1"/>
  <c r="S63" i="86"/>
  <c r="Q63" i="86"/>
  <c r="O63" i="86"/>
  <c r="M63" i="86"/>
  <c r="K63" i="86"/>
  <c r="I63" i="86"/>
  <c r="G63" i="86"/>
  <c r="E63" i="86"/>
  <c r="K25" i="86" l="1"/>
  <c r="D7" i="85" l="1"/>
  <c r="E9" i="84" s="1"/>
  <c r="E19" i="87"/>
  <c r="F33" i="65"/>
  <c r="F109" i="84"/>
  <c r="F108" i="84"/>
  <c r="F107" i="84"/>
  <c r="F105" i="84"/>
  <c r="F113" i="84" s="1"/>
  <c r="D89" i="95"/>
  <c r="D92" i="95"/>
  <c r="D91" i="95"/>
  <c r="E91" i="95" s="1"/>
  <c r="D90" i="95"/>
  <c r="E90" i="95"/>
  <c r="E89" i="95"/>
  <c r="D88" i="95"/>
  <c r="E88" i="95" s="1"/>
  <c r="E126" i="95" s="1"/>
  <c r="F12" i="54"/>
  <c r="I12" i="54" s="1"/>
  <c r="E92" i="95"/>
  <c r="D93" i="95"/>
  <c r="E93" i="95" s="1"/>
  <c r="F43" i="57"/>
  <c r="E17" i="87"/>
  <c r="B29" i="87"/>
  <c r="I94" i="86"/>
  <c r="J94" i="86" s="1"/>
  <c r="Q23" i="86"/>
  <c r="J32" i="86"/>
  <c r="F25" i="54"/>
  <c r="I25" i="54" s="1"/>
  <c r="E125" i="95"/>
  <c r="E124" i="95"/>
  <c r="E123" i="95"/>
  <c r="E84" i="95"/>
  <c r="E81" i="95"/>
  <c r="E80" i="95"/>
  <c r="F65" i="54"/>
  <c r="I65" i="54" s="1"/>
  <c r="E79" i="95"/>
  <c r="E78" i="95"/>
  <c r="E77" i="95"/>
  <c r="E76" i="95"/>
  <c r="E75" i="95"/>
  <c r="E74" i="95"/>
  <c r="E73" i="95"/>
  <c r="E67" i="95"/>
  <c r="E60" i="95"/>
  <c r="E50" i="95"/>
  <c r="E49" i="95"/>
  <c r="E48" i="95"/>
  <c r="E47" i="95"/>
  <c r="E46" i="95"/>
  <c r="E45" i="95"/>
  <c r="E44" i="95"/>
  <c r="E43" i="95"/>
  <c r="E42" i="95"/>
  <c r="E41" i="95"/>
  <c r="E40" i="95"/>
  <c r="E39" i="95"/>
  <c r="E32" i="95"/>
  <c r="E31" i="95"/>
  <c r="E29" i="95"/>
  <c r="B31" i="87"/>
  <c r="D31" i="87"/>
  <c r="E31" i="87"/>
  <c r="B32" i="87"/>
  <c r="D32" i="87"/>
  <c r="E32" i="87"/>
  <c r="B33" i="87"/>
  <c r="D33" i="87"/>
  <c r="E33" i="87"/>
  <c r="I34" i="87"/>
  <c r="L34" i="87" s="1"/>
  <c r="E13" i="95"/>
  <c r="E12" i="95"/>
  <c r="E10" i="95"/>
  <c r="E6" i="95"/>
  <c r="E13" i="80"/>
  <c r="I13" i="80" s="1"/>
  <c r="K13" i="80" s="1"/>
  <c r="S13" i="80"/>
  <c r="U13" i="80"/>
  <c r="V13" i="80"/>
  <c r="X13" i="80"/>
  <c r="Z13" i="80"/>
  <c r="AA13" i="80"/>
  <c r="AB13" i="80"/>
  <c r="AH13" i="80"/>
  <c r="AL13" i="80"/>
  <c r="AN13" i="80"/>
  <c r="E14" i="80"/>
  <c r="S14" i="80"/>
  <c r="U14" i="80"/>
  <c r="V14" i="80"/>
  <c r="X14" i="80"/>
  <c r="Z14" i="80"/>
  <c r="AA14" i="80"/>
  <c r="AB14" i="80"/>
  <c r="AH14" i="80"/>
  <c r="AN14" i="80"/>
  <c r="E15" i="80"/>
  <c r="G15" i="80"/>
  <c r="H15" i="80" s="1"/>
  <c r="J15" i="80"/>
  <c r="O15" i="80"/>
  <c r="P15" i="80" s="1"/>
  <c r="R15" i="80" s="1"/>
  <c r="S15" i="80"/>
  <c r="U15" i="80"/>
  <c r="V15" i="80"/>
  <c r="X15" i="80"/>
  <c r="Z15" i="80"/>
  <c r="AA15" i="80"/>
  <c r="AB15" i="80"/>
  <c r="AH15" i="80"/>
  <c r="AL15" i="80"/>
  <c r="AN15" i="80"/>
  <c r="D19" i="87"/>
  <c r="J65" i="54"/>
  <c r="D52" i="86"/>
  <c r="F76" i="54"/>
  <c r="I76" i="54"/>
  <c r="J76" i="54"/>
  <c r="F7" i="84"/>
  <c r="E18" i="87"/>
  <c r="O16" i="86"/>
  <c r="F38" i="54"/>
  <c r="I38" i="54"/>
  <c r="E15" i="87"/>
  <c r="M16" i="86"/>
  <c r="M20" i="86" s="1"/>
  <c r="N53" i="85"/>
  <c r="F37" i="54"/>
  <c r="I37" i="54" s="1"/>
  <c r="D30" i="87"/>
  <c r="F63" i="54"/>
  <c r="I63" i="54" s="1"/>
  <c r="F24" i="54"/>
  <c r="I24" i="54" s="1"/>
  <c r="F16" i="54"/>
  <c r="I16" i="54" s="1"/>
  <c r="M47" i="57"/>
  <c r="F14" i="54"/>
  <c r="I14" i="54" s="1"/>
  <c r="J16" i="54"/>
  <c r="J37" i="54"/>
  <c r="S20" i="86"/>
  <c r="S22" i="86"/>
  <c r="E50" i="87"/>
  <c r="E14" i="85"/>
  <c r="F16" i="84"/>
  <c r="H16" i="84" s="1"/>
  <c r="F50" i="54"/>
  <c r="J11" i="54"/>
  <c r="J12" i="54"/>
  <c r="J13" i="54"/>
  <c r="J14" i="54"/>
  <c r="J15" i="54"/>
  <c r="F17" i="54"/>
  <c r="I17" i="54" s="1"/>
  <c r="J17" i="54"/>
  <c r="F18" i="54"/>
  <c r="I18" i="54"/>
  <c r="J18" i="54"/>
  <c r="F19" i="54"/>
  <c r="I19" i="54" s="1"/>
  <c r="J19" i="54"/>
  <c r="F20" i="54"/>
  <c r="J20" i="54"/>
  <c r="K20" i="54" s="1"/>
  <c r="F21" i="54"/>
  <c r="I21" i="54"/>
  <c r="J21" i="54"/>
  <c r="K21" i="54" s="1"/>
  <c r="F22" i="54"/>
  <c r="I22" i="54"/>
  <c r="J22" i="54"/>
  <c r="K22" i="54" s="1"/>
  <c r="J24" i="54"/>
  <c r="J25" i="54"/>
  <c r="F26" i="54"/>
  <c r="I26" i="54" s="1"/>
  <c r="J26" i="54"/>
  <c r="K26" i="54" s="1"/>
  <c r="F27" i="54"/>
  <c r="I27" i="54" s="1"/>
  <c r="J27" i="54"/>
  <c r="F28" i="54"/>
  <c r="I28" i="54"/>
  <c r="J28" i="54"/>
  <c r="K28" i="54" s="1"/>
  <c r="F29" i="54"/>
  <c r="I29" i="54" s="1"/>
  <c r="J29" i="54"/>
  <c r="F30" i="54"/>
  <c r="I30" i="54"/>
  <c r="J30" i="54"/>
  <c r="F31" i="54"/>
  <c r="I31" i="54" s="1"/>
  <c r="J31" i="54"/>
  <c r="F32" i="54"/>
  <c r="I32" i="54"/>
  <c r="J32" i="54"/>
  <c r="F33" i="54"/>
  <c r="I33" i="54" s="1"/>
  <c r="J33" i="54"/>
  <c r="F34" i="54"/>
  <c r="I34" i="54"/>
  <c r="J34" i="54"/>
  <c r="F35" i="54"/>
  <c r="I35" i="54" s="1"/>
  <c r="J35" i="54"/>
  <c r="J38" i="54"/>
  <c r="K38" i="54" s="1"/>
  <c r="F39" i="54"/>
  <c r="I39" i="54" s="1"/>
  <c r="J39" i="54"/>
  <c r="F40" i="54"/>
  <c r="J40" i="54"/>
  <c r="K40" i="54" s="1"/>
  <c r="F41" i="54"/>
  <c r="I41" i="54"/>
  <c r="J41" i="54"/>
  <c r="K41" i="54" s="1"/>
  <c r="F42" i="54"/>
  <c r="I42" i="54" s="1"/>
  <c r="J42" i="54"/>
  <c r="K42" i="54" s="1"/>
  <c r="F43" i="54"/>
  <c r="I43" i="54" s="1"/>
  <c r="J43" i="54"/>
  <c r="F44" i="54"/>
  <c r="I44" i="54" s="1"/>
  <c r="J44" i="54"/>
  <c r="F45" i="54"/>
  <c r="I45" i="54"/>
  <c r="J45" i="54"/>
  <c r="K45" i="54" s="1"/>
  <c r="F46" i="54"/>
  <c r="I46" i="54" s="1"/>
  <c r="J46" i="54"/>
  <c r="F47" i="54"/>
  <c r="J47" i="54"/>
  <c r="F48" i="54"/>
  <c r="J48" i="54"/>
  <c r="K48" i="54" s="1"/>
  <c r="J50" i="54"/>
  <c r="F51" i="54"/>
  <c r="I51" i="54" s="1"/>
  <c r="J51" i="54"/>
  <c r="F52" i="54"/>
  <c r="J52" i="54"/>
  <c r="F53" i="54"/>
  <c r="J53" i="54"/>
  <c r="F54" i="54"/>
  <c r="I54" i="54"/>
  <c r="J54" i="54"/>
  <c r="F55" i="54"/>
  <c r="J55" i="54"/>
  <c r="F56" i="54"/>
  <c r="I56" i="54" s="1"/>
  <c r="J56" i="54"/>
  <c r="F57" i="54"/>
  <c r="J57" i="54"/>
  <c r="F58" i="54"/>
  <c r="I58" i="54"/>
  <c r="J58" i="54"/>
  <c r="F59" i="54"/>
  <c r="I59" i="54" s="1"/>
  <c r="J59" i="54"/>
  <c r="F60" i="54"/>
  <c r="J60" i="54"/>
  <c r="K60" i="54" s="1"/>
  <c r="F61" i="54"/>
  <c r="J61" i="54"/>
  <c r="J63" i="54"/>
  <c r="J64" i="54"/>
  <c r="F66" i="54"/>
  <c r="I66" i="54"/>
  <c r="J66" i="54"/>
  <c r="K66" i="54" s="1"/>
  <c r="F67" i="54"/>
  <c r="I67" i="54" s="1"/>
  <c r="J67" i="54"/>
  <c r="F68" i="54"/>
  <c r="I68" i="54"/>
  <c r="J68" i="54"/>
  <c r="F69" i="54"/>
  <c r="I69" i="54" s="1"/>
  <c r="J69" i="54"/>
  <c r="F70" i="54"/>
  <c r="I70" i="54"/>
  <c r="J70" i="54"/>
  <c r="K70" i="54" s="1"/>
  <c r="F71" i="54"/>
  <c r="I71" i="54" s="1"/>
  <c r="J71" i="54"/>
  <c r="K71" i="54" s="1"/>
  <c r="F72" i="54"/>
  <c r="I72" i="54" s="1"/>
  <c r="J72" i="54"/>
  <c r="F73" i="54"/>
  <c r="I73" i="54" s="1"/>
  <c r="J73" i="54"/>
  <c r="F74" i="54"/>
  <c r="I74" i="54"/>
  <c r="J74" i="54"/>
  <c r="F78" i="54"/>
  <c r="J78" i="54"/>
  <c r="F79" i="54"/>
  <c r="I79" i="54" s="1"/>
  <c r="J79" i="54"/>
  <c r="F80" i="54"/>
  <c r="I80" i="54" s="1"/>
  <c r="J80" i="54"/>
  <c r="F81" i="54"/>
  <c r="I81" i="54" s="1"/>
  <c r="J81" i="54"/>
  <c r="K81" i="54" s="1"/>
  <c r="F82" i="54"/>
  <c r="I82" i="54" s="1"/>
  <c r="J82" i="54"/>
  <c r="F83" i="54"/>
  <c r="I83" i="54" s="1"/>
  <c r="J83" i="54"/>
  <c r="F84" i="54"/>
  <c r="I84" i="54" s="1"/>
  <c r="J84" i="54"/>
  <c r="F85" i="54"/>
  <c r="I85" i="54"/>
  <c r="J85" i="54"/>
  <c r="F86" i="54"/>
  <c r="I86" i="54" s="1"/>
  <c r="J86" i="54"/>
  <c r="F87" i="54"/>
  <c r="I87" i="54" s="1"/>
  <c r="J87" i="54"/>
  <c r="F14" i="65"/>
  <c r="F16" i="65"/>
  <c r="F17" i="65"/>
  <c r="F18" i="65"/>
  <c r="F19" i="65"/>
  <c r="F20" i="65"/>
  <c r="F21" i="65"/>
  <c r="F22" i="65"/>
  <c r="F23" i="65"/>
  <c r="F24" i="65"/>
  <c r="F25" i="65"/>
  <c r="F31" i="65"/>
  <c r="F32" i="65"/>
  <c r="F34" i="65"/>
  <c r="F35" i="65"/>
  <c r="F36" i="65"/>
  <c r="F37" i="65"/>
  <c r="F38" i="65"/>
  <c r="F39" i="65"/>
  <c r="F40" i="65"/>
  <c r="F41" i="65"/>
  <c r="F42" i="65"/>
  <c r="F43" i="65"/>
  <c r="F44" i="65"/>
  <c r="F45" i="65"/>
  <c r="F46" i="65"/>
  <c r="F52" i="65"/>
  <c r="F53" i="65"/>
  <c r="F54" i="65"/>
  <c r="F55" i="65"/>
  <c r="F56" i="65"/>
  <c r="F57" i="65"/>
  <c r="F58" i="65"/>
  <c r="F59" i="65"/>
  <c r="F60" i="65"/>
  <c r="F61" i="65"/>
  <c r="F62" i="65"/>
  <c r="F63" i="65"/>
  <c r="F64" i="65"/>
  <c r="F65" i="65"/>
  <c r="F66" i="65"/>
  <c r="F67" i="65"/>
  <c r="F73" i="65"/>
  <c r="F74" i="65"/>
  <c r="F75" i="65"/>
  <c r="F76" i="65"/>
  <c r="F77" i="65"/>
  <c r="F78" i="65"/>
  <c r="F89" i="65" s="1"/>
  <c r="E37" i="85" s="1"/>
  <c r="F37" i="84" s="1"/>
  <c r="F79" i="65"/>
  <c r="F80" i="65"/>
  <c r="F81" i="65"/>
  <c r="F82" i="65"/>
  <c r="F83" i="65"/>
  <c r="F84" i="65"/>
  <c r="F85" i="65"/>
  <c r="F86" i="65"/>
  <c r="F87" i="65"/>
  <c r="F88" i="65"/>
  <c r="F94" i="65"/>
  <c r="F95" i="65"/>
  <c r="F96" i="65"/>
  <c r="F97" i="65"/>
  <c r="F98" i="65"/>
  <c r="F99" i="65"/>
  <c r="F110" i="65" s="1"/>
  <c r="E38" i="85" s="1"/>
  <c r="F38" i="84" s="1"/>
  <c r="F100" i="65"/>
  <c r="F101" i="65"/>
  <c r="F102" i="65"/>
  <c r="F103" i="65"/>
  <c r="F104" i="65"/>
  <c r="F105" i="65"/>
  <c r="F106" i="65"/>
  <c r="F107" i="65"/>
  <c r="F108" i="65"/>
  <c r="F109" i="65"/>
  <c r="R117" i="65"/>
  <c r="C118" i="65"/>
  <c r="R120" i="65"/>
  <c r="F11" i="57"/>
  <c r="F12" i="57"/>
  <c r="F13" i="57"/>
  <c r="F14" i="57"/>
  <c r="F15" i="57"/>
  <c r="F16" i="57"/>
  <c r="F17" i="57"/>
  <c r="F18" i="57"/>
  <c r="F19" i="57"/>
  <c r="F20" i="57"/>
  <c r="F21" i="57"/>
  <c r="F22" i="57"/>
  <c r="F23" i="57"/>
  <c r="F24" i="57"/>
  <c r="F25" i="57"/>
  <c r="F26" i="57"/>
  <c r="F27" i="57"/>
  <c r="F28" i="57"/>
  <c r="F29" i="57"/>
  <c r="F30" i="57"/>
  <c r="F31" i="57"/>
  <c r="F32" i="57"/>
  <c r="F33" i="57"/>
  <c r="F34" i="57"/>
  <c r="F35" i="57"/>
  <c r="F36" i="57"/>
  <c r="F37" i="57"/>
  <c r="F38" i="57"/>
  <c r="I43" i="57"/>
  <c r="N43" i="57"/>
  <c r="O43" i="57"/>
  <c r="F44" i="57"/>
  <c r="I44" i="57"/>
  <c r="N44" i="57"/>
  <c r="F45" i="57"/>
  <c r="I45" i="57"/>
  <c r="N45" i="57"/>
  <c r="F46" i="57"/>
  <c r="I46" i="57"/>
  <c r="N46" i="57"/>
  <c r="F47" i="57"/>
  <c r="I47" i="57"/>
  <c r="N47" i="57"/>
  <c r="O47" i="57" s="1"/>
  <c r="F48" i="57"/>
  <c r="I48" i="57"/>
  <c r="F49" i="57"/>
  <c r="F50" i="57"/>
  <c r="F51" i="57"/>
  <c r="F52" i="57"/>
  <c r="F53" i="57"/>
  <c r="F60" i="57"/>
  <c r="F67" i="57"/>
  <c r="F77" i="57"/>
  <c r="F79" i="57"/>
  <c r="F83" i="57"/>
  <c r="F85" i="57"/>
  <c r="F86" i="57"/>
  <c r="F92" i="57"/>
  <c r="F93" i="57"/>
  <c r="F94" i="57"/>
  <c r="F95" i="57"/>
  <c r="G10" i="71"/>
  <c r="G11" i="71"/>
  <c r="G12" i="71"/>
  <c r="G13" i="71"/>
  <c r="G14" i="71"/>
  <c r="G15" i="71"/>
  <c r="G16" i="71"/>
  <c r="G17" i="71"/>
  <c r="G18" i="71"/>
  <c r="G19" i="71"/>
  <c r="G23" i="71"/>
  <c r="G24" i="71"/>
  <c r="G25" i="71"/>
  <c r="G26" i="71"/>
  <c r="G27" i="71"/>
  <c r="G28" i="71"/>
  <c r="G29" i="71"/>
  <c r="G30" i="71"/>
  <c r="G31" i="71"/>
  <c r="G32" i="71"/>
  <c r="G36" i="71"/>
  <c r="G37" i="71"/>
  <c r="G39" i="71" s="1"/>
  <c r="E22" i="85" s="1"/>
  <c r="F22" i="84" s="1"/>
  <c r="H22" i="84" s="1"/>
  <c r="G38" i="71"/>
  <c r="G42" i="71"/>
  <c r="G43" i="71"/>
  <c r="G44" i="71"/>
  <c r="G45" i="71"/>
  <c r="G46" i="71"/>
  <c r="G47" i="71"/>
  <c r="G48" i="71"/>
  <c r="G49" i="71"/>
  <c r="G50" i="71"/>
  <c r="W7" i="80"/>
  <c r="E8" i="80"/>
  <c r="G8" i="80"/>
  <c r="J8" i="80"/>
  <c r="O8" i="80"/>
  <c r="S8" i="80"/>
  <c r="U8" i="80"/>
  <c r="V8" i="80"/>
  <c r="X8" i="80"/>
  <c r="Z8" i="80"/>
  <c r="AA8" i="80"/>
  <c r="AB8" i="80"/>
  <c r="AH8" i="80"/>
  <c r="AL8" i="80"/>
  <c r="AN8" i="80"/>
  <c r="E9" i="80"/>
  <c r="G9" i="80"/>
  <c r="J9" i="80"/>
  <c r="O9" i="80"/>
  <c r="S9" i="80"/>
  <c r="U9" i="80"/>
  <c r="V9" i="80"/>
  <c r="X9" i="80"/>
  <c r="Z9" i="80"/>
  <c r="AA9" i="80"/>
  <c r="AB9" i="80"/>
  <c r="AH9" i="80"/>
  <c r="AL9" i="80"/>
  <c r="AN9" i="80"/>
  <c r="E10" i="80"/>
  <c r="G10" i="80"/>
  <c r="H10" i="80" s="1"/>
  <c r="J10" i="80"/>
  <c r="O10" i="80"/>
  <c r="S10" i="80"/>
  <c r="U10" i="80"/>
  <c r="V10" i="80"/>
  <c r="X10" i="80"/>
  <c r="Z10" i="80"/>
  <c r="AA10" i="80"/>
  <c r="AB10" i="80"/>
  <c r="AH10" i="80"/>
  <c r="AL10" i="80"/>
  <c r="AN10" i="80"/>
  <c r="E11" i="80"/>
  <c r="G11" i="80"/>
  <c r="H11" i="80" s="1"/>
  <c r="J11" i="80"/>
  <c r="O11" i="80"/>
  <c r="AM11" i="80" s="1"/>
  <c r="S11" i="80"/>
  <c r="U11" i="80"/>
  <c r="V11" i="80"/>
  <c r="X11" i="80"/>
  <c r="Z11" i="80"/>
  <c r="AA11" i="80"/>
  <c r="AB11" i="80"/>
  <c r="AH11" i="80"/>
  <c r="AL11" i="80"/>
  <c r="AN11" i="80"/>
  <c r="S12" i="80"/>
  <c r="U12" i="80"/>
  <c r="V12" i="80"/>
  <c r="X12" i="80"/>
  <c r="Z12" i="80"/>
  <c r="AA12" i="80"/>
  <c r="AB12" i="80"/>
  <c r="AH12" i="80"/>
  <c r="AN12" i="80"/>
  <c r="Q16" i="86"/>
  <c r="Q94" i="86"/>
  <c r="R94" i="86" s="1"/>
  <c r="S16" i="86"/>
  <c r="S94" i="86" s="1"/>
  <c r="T94" i="86" s="1"/>
  <c r="E43" i="86"/>
  <c r="G43" i="86"/>
  <c r="I43" i="86"/>
  <c r="K43" i="86"/>
  <c r="M43" i="86"/>
  <c r="O43" i="86"/>
  <c r="Q43" i="86"/>
  <c r="S43" i="86"/>
  <c r="E51" i="86"/>
  <c r="M51" i="86" s="1"/>
  <c r="G51" i="86"/>
  <c r="O51" i="86"/>
  <c r="Q51" i="86" s="1"/>
  <c r="E59" i="86"/>
  <c r="G59" i="86"/>
  <c r="I59" i="86"/>
  <c r="K59" i="86"/>
  <c r="M59" i="86"/>
  <c r="O59" i="86"/>
  <c r="Q59" i="86"/>
  <c r="S59" i="86"/>
  <c r="E64" i="86"/>
  <c r="I64" i="86" s="1"/>
  <c r="K64" i="86" s="1"/>
  <c r="M64" i="86" s="1"/>
  <c r="O64" i="86" s="1"/>
  <c r="Q64" i="86" s="1"/>
  <c r="S64" i="86" s="1"/>
  <c r="G64" i="86"/>
  <c r="E72" i="86"/>
  <c r="G72" i="86"/>
  <c r="I72" i="86"/>
  <c r="K72" i="86" s="1"/>
  <c r="M72" i="86" s="1"/>
  <c r="O72" i="86"/>
  <c r="Q72" i="86"/>
  <c r="S72" i="86"/>
  <c r="E74" i="86"/>
  <c r="G74" i="86"/>
  <c r="I74" i="86"/>
  <c r="K74" i="86" s="1"/>
  <c r="M74" i="86" s="1"/>
  <c r="O74" i="86"/>
  <c r="Q74" i="86"/>
  <c r="S74" i="86" s="1"/>
  <c r="F80" i="86"/>
  <c r="J80" i="86" s="1"/>
  <c r="L80" i="86" s="1"/>
  <c r="N80" i="86" s="1"/>
  <c r="P80" i="86" s="1"/>
  <c r="R80" i="86" s="1"/>
  <c r="T80" i="86" s="1"/>
  <c r="F81" i="86"/>
  <c r="J81" i="86"/>
  <c r="L81" i="86" s="1"/>
  <c r="N81" i="86" s="1"/>
  <c r="P81" i="86" s="1"/>
  <c r="R81" i="86" s="1"/>
  <c r="T81" i="86" s="1"/>
  <c r="H81" i="86"/>
  <c r="E91" i="86"/>
  <c r="G91" i="86"/>
  <c r="I91" i="86"/>
  <c r="K91" i="86"/>
  <c r="M91" i="86"/>
  <c r="O91" i="86"/>
  <c r="Q91" i="86"/>
  <c r="S91" i="86"/>
  <c r="I110" i="86"/>
  <c r="I23" i="87"/>
  <c r="J23" i="87"/>
  <c r="K23" i="87"/>
  <c r="L23" i="87" s="1"/>
  <c r="B26" i="87"/>
  <c r="B27" i="87"/>
  <c r="B28" i="87"/>
  <c r="B30" i="87"/>
  <c r="H34" i="87"/>
  <c r="G35" i="87"/>
  <c r="J35" i="87"/>
  <c r="L35" i="87" s="1"/>
  <c r="H35" i="87"/>
  <c r="K35" i="87" s="1"/>
  <c r="I35" i="87"/>
  <c r="G38" i="87"/>
  <c r="J38" i="87" s="1"/>
  <c r="H38" i="87"/>
  <c r="K38" i="87" s="1"/>
  <c r="I38" i="87"/>
  <c r="I42" i="87" s="1"/>
  <c r="G39" i="87"/>
  <c r="J39" i="87"/>
  <c r="H39" i="87"/>
  <c r="K39" i="87"/>
  <c r="I39" i="87"/>
  <c r="G40" i="87"/>
  <c r="J40" i="87"/>
  <c r="H40" i="87"/>
  <c r="K40" i="87" s="1"/>
  <c r="I40" i="87"/>
  <c r="G41" i="87"/>
  <c r="J41" i="87"/>
  <c r="H41" i="87"/>
  <c r="K41" i="87" s="1"/>
  <c r="L41" i="87" s="1"/>
  <c r="I41" i="87"/>
  <c r="C42" i="87"/>
  <c r="D42" i="87"/>
  <c r="E42" i="87"/>
  <c r="E51" i="87"/>
  <c r="E52" i="87"/>
  <c r="E55" i="87"/>
  <c r="E58" i="87" s="1"/>
  <c r="E90" i="85" s="1"/>
  <c r="F90" i="84" s="1"/>
  <c r="H90" i="84" s="1"/>
  <c r="E56" i="87"/>
  <c r="E57" i="87"/>
  <c r="E60" i="87"/>
  <c r="E62" i="87"/>
  <c r="E65" i="87"/>
  <c r="E66" i="87"/>
  <c r="E67" i="87"/>
  <c r="J5" i="85"/>
  <c r="I12" i="85"/>
  <c r="F17" i="84"/>
  <c r="H17" i="84" s="1"/>
  <c r="L51" i="85"/>
  <c r="N51" i="85"/>
  <c r="L52" i="85"/>
  <c r="N52" i="85"/>
  <c r="E55" i="85"/>
  <c r="F75" i="84"/>
  <c r="H75" i="84" s="1"/>
  <c r="E76" i="85"/>
  <c r="F76" i="84" s="1"/>
  <c r="E84" i="85"/>
  <c r="F84" i="84" s="1"/>
  <c r="H84" i="84" s="1"/>
  <c r="E86" i="85"/>
  <c r="D14" i="84"/>
  <c r="D15" i="84"/>
  <c r="D16" i="84"/>
  <c r="D17" i="84"/>
  <c r="D20" i="84"/>
  <c r="D21" i="84"/>
  <c r="D22" i="84"/>
  <c r="D23" i="84"/>
  <c r="D26" i="84"/>
  <c r="D27" i="84"/>
  <c r="D28" i="84"/>
  <c r="D29" i="84"/>
  <c r="D30" i="84"/>
  <c r="D31" i="84"/>
  <c r="D34" i="84"/>
  <c r="D35" i="84"/>
  <c r="D36" i="84"/>
  <c r="D37" i="84"/>
  <c r="D38" i="84"/>
  <c r="D41" i="84"/>
  <c r="D42" i="84"/>
  <c r="D43" i="84"/>
  <c r="D44" i="84"/>
  <c r="D45" i="84"/>
  <c r="D46" i="84"/>
  <c r="D51" i="84"/>
  <c r="F51" i="84"/>
  <c r="H51" i="84" s="1"/>
  <c r="D52" i="84"/>
  <c r="D53" i="84"/>
  <c r="F53" i="84"/>
  <c r="H53" i="84"/>
  <c r="D56" i="84"/>
  <c r="F56" i="84"/>
  <c r="D57" i="84"/>
  <c r="F57" i="84"/>
  <c r="H57" i="84" s="1"/>
  <c r="D58" i="84"/>
  <c r="F58" i="84"/>
  <c r="H58" i="84" s="1"/>
  <c r="D59" i="84"/>
  <c r="F59" i="84"/>
  <c r="H59" i="84"/>
  <c r="D62" i="84"/>
  <c r="D63" i="84"/>
  <c r="D64" i="84"/>
  <c r="D65" i="84"/>
  <c r="D68" i="84"/>
  <c r="F68" i="84"/>
  <c r="H68" i="84"/>
  <c r="D69" i="84"/>
  <c r="D70" i="84"/>
  <c r="D71" i="84"/>
  <c r="D74" i="84"/>
  <c r="D75" i="84"/>
  <c r="D76" i="84"/>
  <c r="D77" i="84"/>
  <c r="F77" i="84"/>
  <c r="H77" i="84"/>
  <c r="D78" i="84"/>
  <c r="F78" i="84"/>
  <c r="H78" i="84" s="1"/>
  <c r="D81" i="84"/>
  <c r="F81" i="84"/>
  <c r="H81" i="84"/>
  <c r="D82" i="84"/>
  <c r="F82" i="84"/>
  <c r="H82" i="84" s="1"/>
  <c r="D83" i="84"/>
  <c r="F83" i="84"/>
  <c r="H83" i="84"/>
  <c r="D84" i="84"/>
  <c r="D85" i="84"/>
  <c r="F85" i="84"/>
  <c r="H85" i="84" s="1"/>
  <c r="D86" i="84"/>
  <c r="C2" i="72"/>
  <c r="C3" i="65" s="1"/>
  <c r="J2" i="72"/>
  <c r="F3" i="65" s="1"/>
  <c r="L3" i="87"/>
  <c r="C3" i="72"/>
  <c r="C4" i="71" s="1"/>
  <c r="J3" i="72"/>
  <c r="F4" i="57" s="1"/>
  <c r="J3" i="84"/>
  <c r="J4" i="72"/>
  <c r="G5" i="71"/>
  <c r="C5" i="72"/>
  <c r="C5" i="87" s="1"/>
  <c r="J5" i="72"/>
  <c r="J5" i="84" s="1"/>
  <c r="C6" i="72"/>
  <c r="C5" i="85" s="1"/>
  <c r="G4" i="85"/>
  <c r="F78" i="57"/>
  <c r="F91" i="57"/>
  <c r="F96" i="57" s="1"/>
  <c r="E31" i="85" s="1"/>
  <c r="F31" i="84" s="1"/>
  <c r="H31" i="84" s="1"/>
  <c r="J2" i="84"/>
  <c r="Q24" i="86"/>
  <c r="S24" i="86"/>
  <c r="I12" i="87"/>
  <c r="H12" i="87"/>
  <c r="K12" i="87" s="1"/>
  <c r="G12" i="87"/>
  <c r="J12" i="87"/>
  <c r="I21" i="87"/>
  <c r="H21" i="87"/>
  <c r="K21" i="87"/>
  <c r="G21" i="87"/>
  <c r="J21" i="87" s="1"/>
  <c r="L21" i="87" s="1"/>
  <c r="G22" i="87"/>
  <c r="J22" i="87"/>
  <c r="H22" i="87"/>
  <c r="K22" i="87"/>
  <c r="I22" i="87"/>
  <c r="F13" i="65"/>
  <c r="E26" i="87"/>
  <c r="D27" i="87"/>
  <c r="E14" i="87"/>
  <c r="D26" i="87"/>
  <c r="D14" i="87"/>
  <c r="F15" i="54"/>
  <c r="F11" i="54"/>
  <c r="I11" i="54" s="1"/>
  <c r="M46" i="57"/>
  <c r="O46" i="57"/>
  <c r="C36" i="87"/>
  <c r="E27" i="87"/>
  <c r="E29" i="87"/>
  <c r="D29" i="87"/>
  <c r="M45" i="57"/>
  <c r="O45" i="57" s="1"/>
  <c r="F13" i="54"/>
  <c r="I13" i="54" s="1"/>
  <c r="D28" i="87"/>
  <c r="E28" i="87"/>
  <c r="E30" i="87"/>
  <c r="F65" i="57"/>
  <c r="F68" i="57" s="1"/>
  <c r="F66" i="57"/>
  <c r="F10" i="65"/>
  <c r="F11" i="65"/>
  <c r="F59" i="57"/>
  <c r="F58" i="57"/>
  <c r="F61" i="57" s="1"/>
  <c r="E28" i="85" s="1"/>
  <c r="F28" i="84" s="1"/>
  <c r="H28" i="84" s="1"/>
  <c r="F15" i="65"/>
  <c r="F12" i="65"/>
  <c r="G13" i="87"/>
  <c r="J13" i="87" s="1"/>
  <c r="H13" i="87"/>
  <c r="K13" i="87"/>
  <c r="I13" i="87"/>
  <c r="I78" i="54"/>
  <c r="I52" i="54"/>
  <c r="W10" i="80"/>
  <c r="S51" i="86"/>
  <c r="D15" i="87"/>
  <c r="F75" i="57"/>
  <c r="F76" i="57"/>
  <c r="Q25" i="86"/>
  <c r="Q20" i="86"/>
  <c r="Q22" i="86"/>
  <c r="F73" i="57"/>
  <c r="F74" i="57"/>
  <c r="E12" i="80"/>
  <c r="J12" i="80"/>
  <c r="O12" i="80"/>
  <c r="P12" i="80" s="1"/>
  <c r="AL12" i="80"/>
  <c r="G12" i="80"/>
  <c r="H12" i="80" s="1"/>
  <c r="F86" i="84"/>
  <c r="H86" i="84" s="1"/>
  <c r="J4" i="54"/>
  <c r="H56" i="84"/>
  <c r="R118" i="65"/>
  <c r="C119" i="65"/>
  <c r="R119" i="65" s="1"/>
  <c r="R122" i="65" s="1"/>
  <c r="T117" i="65" s="1"/>
  <c r="R115" i="65" s="1"/>
  <c r="I61" i="54"/>
  <c r="I57" i="54"/>
  <c r="I55" i="54"/>
  <c r="I53" i="54"/>
  <c r="G3" i="71"/>
  <c r="G2" i="85"/>
  <c r="I60" i="54"/>
  <c r="G13" i="80"/>
  <c r="H13" i="80" s="1"/>
  <c r="AL14" i="80"/>
  <c r="G14" i="80"/>
  <c r="H14" i="80" s="1"/>
  <c r="O13" i="80"/>
  <c r="AM13" i="80" s="1"/>
  <c r="J13" i="80"/>
  <c r="O14" i="80"/>
  <c r="AM14" i="80" s="1"/>
  <c r="J14" i="80"/>
  <c r="M50" i="57"/>
  <c r="G34" i="87"/>
  <c r="I40" i="54"/>
  <c r="I20" i="54"/>
  <c r="C5" i="57"/>
  <c r="C5" i="54"/>
  <c r="C5" i="65"/>
  <c r="I48" i="54"/>
  <c r="I51" i="86"/>
  <c r="W8" i="80"/>
  <c r="W11" i="80"/>
  <c r="W13" i="80"/>
  <c r="W14" i="80"/>
  <c r="W15" i="80"/>
  <c r="W9" i="80"/>
  <c r="W12" i="80"/>
  <c r="G3" i="85"/>
  <c r="J5" i="54"/>
  <c r="J4" i="84"/>
  <c r="L5" i="87"/>
  <c r="S25" i="86"/>
  <c r="F74" i="84"/>
  <c r="O44" i="57"/>
  <c r="J42" i="87"/>
  <c r="F5" i="65"/>
  <c r="S21" i="86"/>
  <c r="J6" i="54"/>
  <c r="F5" i="57"/>
  <c r="L4" i="87"/>
  <c r="E80" i="85"/>
  <c r="P8" i="80" l="1"/>
  <c r="R8" i="80" s="1"/>
  <c r="AM8" i="80"/>
  <c r="AM9" i="80"/>
  <c r="P9" i="80"/>
  <c r="P10" i="80"/>
  <c r="AM10" i="80"/>
  <c r="AO10" i="80" s="1"/>
  <c r="K67" i="54"/>
  <c r="K57" i="54"/>
  <c r="F23" i="54"/>
  <c r="F55" i="84"/>
  <c r="K13" i="54"/>
  <c r="I15" i="80"/>
  <c r="K15" i="80" s="1"/>
  <c r="AF15" i="80" s="1"/>
  <c r="AM15" i="80"/>
  <c r="AO15" i="80" s="1"/>
  <c r="I14" i="80"/>
  <c r="K14" i="80" s="1"/>
  <c r="AO9" i="80"/>
  <c r="J51" i="84"/>
  <c r="N55" i="85"/>
  <c r="E52" i="85" s="1"/>
  <c r="F52" i="84" s="1"/>
  <c r="D4" i="84"/>
  <c r="C5" i="71"/>
  <c r="K17" i="54"/>
  <c r="K16" i="54"/>
  <c r="Q15" i="80"/>
  <c r="I12" i="80"/>
  <c r="K12" i="80" s="1"/>
  <c r="AM12" i="80"/>
  <c r="AO12" i="80" s="1"/>
  <c r="AO11" i="80"/>
  <c r="K85" i="54"/>
  <c r="K29" i="54"/>
  <c r="K87" i="54"/>
  <c r="K73" i="54"/>
  <c r="K56" i="54"/>
  <c r="K37" i="54"/>
  <c r="M94" i="86"/>
  <c r="N94" i="86" s="1"/>
  <c r="M19" i="86"/>
  <c r="M18" i="86"/>
  <c r="D2" i="84"/>
  <c r="C2" i="85"/>
  <c r="C3" i="71"/>
  <c r="C3" i="57"/>
  <c r="C3" i="87"/>
  <c r="C3" i="54"/>
  <c r="C4" i="57"/>
  <c r="D3" i="84"/>
  <c r="K79" i="54"/>
  <c r="K27" i="54"/>
  <c r="K19" i="54"/>
  <c r="O20" i="86"/>
  <c r="O18" i="86"/>
  <c r="O94" i="86"/>
  <c r="P94" i="86" s="1"/>
  <c r="O19" i="86"/>
  <c r="K35" i="54"/>
  <c r="F4" i="65"/>
  <c r="K59" i="54"/>
  <c r="G4" i="71"/>
  <c r="C4" i="85"/>
  <c r="F3" i="57"/>
  <c r="E16" i="87"/>
  <c r="E24" i="87" s="1"/>
  <c r="I11" i="80"/>
  <c r="K11" i="80" s="1"/>
  <c r="AF11" i="80" s="1"/>
  <c r="K58" i="54"/>
  <c r="K55" i="54"/>
  <c r="K46" i="54"/>
  <c r="K32" i="54"/>
  <c r="H80" i="86"/>
  <c r="K61" i="54"/>
  <c r="K51" i="54"/>
  <c r="F49" i="54"/>
  <c r="E64" i="85" s="1"/>
  <c r="F64" i="84" s="1"/>
  <c r="J64" i="84" s="1"/>
  <c r="D16" i="87"/>
  <c r="D24" i="87" s="1"/>
  <c r="G51" i="71"/>
  <c r="E23" i="85" s="1"/>
  <c r="F23" i="84" s="1"/>
  <c r="H23" i="84" s="1"/>
  <c r="G20" i="71"/>
  <c r="E20" i="85" s="1"/>
  <c r="K78" i="54"/>
  <c r="K72" i="54"/>
  <c r="K54" i="54"/>
  <c r="K34" i="54"/>
  <c r="L38" i="87"/>
  <c r="E68" i="87"/>
  <c r="E92" i="85" s="1"/>
  <c r="F92" i="84" s="1"/>
  <c r="K86" i="54"/>
  <c r="K83" i="54"/>
  <c r="K69" i="54"/>
  <c r="K39" i="54"/>
  <c r="AO13" i="80"/>
  <c r="K11" i="54"/>
  <c r="L22" i="87"/>
  <c r="E73" i="85"/>
  <c r="N50" i="57"/>
  <c r="K53" i="54"/>
  <c r="K14" i="54"/>
  <c r="K16" i="86"/>
  <c r="K94" i="86" s="1"/>
  <c r="L94" i="86" s="1"/>
  <c r="K23" i="86"/>
  <c r="K21" i="86"/>
  <c r="K24" i="86"/>
  <c r="L13" i="87"/>
  <c r="K33" i="54"/>
  <c r="C24" i="87"/>
  <c r="E10" i="57" s="1"/>
  <c r="F10" i="57" s="1"/>
  <c r="F39" i="57" s="1"/>
  <c r="E26" i="85" s="1"/>
  <c r="F26" i="84" s="1"/>
  <c r="J26" i="84" s="1"/>
  <c r="AO14" i="80"/>
  <c r="I10" i="80"/>
  <c r="K10" i="80" s="1"/>
  <c r="AC10" i="80" s="1"/>
  <c r="K82" i="54"/>
  <c r="K44" i="54"/>
  <c r="K18" i="54"/>
  <c r="K76" i="54"/>
  <c r="I8" i="80"/>
  <c r="K65" i="54"/>
  <c r="K43" i="54"/>
  <c r="K30" i="54"/>
  <c r="K24" i="54"/>
  <c r="K74" i="54"/>
  <c r="K63" i="54"/>
  <c r="K68" i="54"/>
  <c r="Q19" i="86"/>
  <c r="G31" i="86"/>
  <c r="G42" i="86" s="1"/>
  <c r="H8" i="80"/>
  <c r="P14" i="80"/>
  <c r="Q14" i="80" s="1"/>
  <c r="R14" i="80"/>
  <c r="L13" i="80"/>
  <c r="AF13" i="80"/>
  <c r="P13" i="80"/>
  <c r="R13" i="80" s="1"/>
  <c r="Q8" i="80"/>
  <c r="AO8" i="80"/>
  <c r="E36" i="87"/>
  <c r="D36" i="87"/>
  <c r="J68" i="84"/>
  <c r="G61" i="57"/>
  <c r="F54" i="57"/>
  <c r="E27" i="85" s="1"/>
  <c r="F27" i="84" s="1"/>
  <c r="H27" i="84" s="1"/>
  <c r="I50" i="54"/>
  <c r="K50" i="54" s="1"/>
  <c r="K25" i="54"/>
  <c r="F64" i="54"/>
  <c r="G5" i="85"/>
  <c r="L6" i="87"/>
  <c r="J74" i="84"/>
  <c r="F73" i="84"/>
  <c r="T16" i="86"/>
  <c r="S19" i="86"/>
  <c r="H76" i="84"/>
  <c r="J76" i="84"/>
  <c r="F47" i="65"/>
  <c r="E35" i="85" s="1"/>
  <c r="F35" i="84" s="1"/>
  <c r="G94" i="86"/>
  <c r="H94" i="86" s="1"/>
  <c r="K12" i="54"/>
  <c r="L12" i="87"/>
  <c r="F68" i="65"/>
  <c r="E36" i="85" s="1"/>
  <c r="F36" i="84" s="1"/>
  <c r="H74" i="84"/>
  <c r="AE13" i="80"/>
  <c r="N13" i="80"/>
  <c r="AC13" i="80"/>
  <c r="AD13" i="80"/>
  <c r="AG13" i="80"/>
  <c r="H37" i="84"/>
  <c r="J37" i="84"/>
  <c r="E29" i="85"/>
  <c r="G68" i="57"/>
  <c r="Y13" i="80"/>
  <c r="H38" i="84"/>
  <c r="J38" i="84"/>
  <c r="R9" i="80"/>
  <c r="Q9" i="80"/>
  <c r="K42" i="87"/>
  <c r="L39" i="87"/>
  <c r="H9" i="80"/>
  <c r="I9" i="80"/>
  <c r="G33" i="71"/>
  <c r="E21" i="85" s="1"/>
  <c r="F21" i="84" s="1"/>
  <c r="H21" i="84" s="1"/>
  <c r="K52" i="54"/>
  <c r="I47" i="54"/>
  <c r="I36" i="54" s="1"/>
  <c r="K47" i="54"/>
  <c r="F36" i="54"/>
  <c r="E63" i="85" s="1"/>
  <c r="F63" i="84" s="1"/>
  <c r="K31" i="54"/>
  <c r="I23" i="54"/>
  <c r="R123" i="65"/>
  <c r="E31" i="86"/>
  <c r="E94" i="86"/>
  <c r="F94" i="86" s="1"/>
  <c r="F75" i="54"/>
  <c r="J75" i="84"/>
  <c r="J77" i="84"/>
  <c r="J53" i="84"/>
  <c r="K51" i="86"/>
  <c r="Q12" i="80"/>
  <c r="R12" i="80"/>
  <c r="H55" i="84"/>
  <c r="G55" i="84" s="1"/>
  <c r="K84" i="54"/>
  <c r="F80" i="84"/>
  <c r="I15" i="54"/>
  <c r="I10" i="54" s="1"/>
  <c r="F10" i="54"/>
  <c r="F26" i="65"/>
  <c r="H80" i="84"/>
  <c r="L40" i="87"/>
  <c r="K80" i="54"/>
  <c r="J78" i="84"/>
  <c r="P11" i="80"/>
  <c r="R11" i="80" s="1"/>
  <c r="I75" i="54"/>
  <c r="J28" i="84"/>
  <c r="C3" i="85"/>
  <c r="C4" i="87"/>
  <c r="C4" i="65"/>
  <c r="C4" i="54"/>
  <c r="O50" i="57"/>
  <c r="C6" i="71"/>
  <c r="D5" i="84"/>
  <c r="C6" i="54"/>
  <c r="C6" i="57"/>
  <c r="C6" i="87"/>
  <c r="C6" i="65"/>
  <c r="S23" i="86"/>
  <c r="Q10" i="80" l="1"/>
  <c r="R10" i="80"/>
  <c r="H73" i="84"/>
  <c r="G73" i="84" s="1"/>
  <c r="Y15" i="80"/>
  <c r="AD15" i="80"/>
  <c r="L14" i="80"/>
  <c r="AD14" i="80"/>
  <c r="AF14" i="80"/>
  <c r="N14" i="80"/>
  <c r="AC14" i="80"/>
  <c r="AE14" i="80"/>
  <c r="Y14" i="80"/>
  <c r="AG14" i="80"/>
  <c r="E42" i="86"/>
  <c r="E50" i="85"/>
  <c r="K75" i="54"/>
  <c r="E46" i="85" s="1"/>
  <c r="F46" i="84" s="1"/>
  <c r="J46" i="84" s="1"/>
  <c r="L15" i="80"/>
  <c r="AG15" i="80"/>
  <c r="N15" i="80"/>
  <c r="AE11" i="80"/>
  <c r="AC11" i="80"/>
  <c r="L11" i="80"/>
  <c r="AG11" i="80"/>
  <c r="AD11" i="80"/>
  <c r="N11" i="80"/>
  <c r="Y11" i="80"/>
  <c r="K8" i="80"/>
  <c r="AD8" i="80" s="1"/>
  <c r="M31" i="86"/>
  <c r="M37" i="86" s="1"/>
  <c r="K36" i="54"/>
  <c r="E43" i="85" s="1"/>
  <c r="F43" i="84" s="1"/>
  <c r="J43" i="84" s="1"/>
  <c r="K19" i="86"/>
  <c r="K31" i="86" s="1"/>
  <c r="O31" i="86"/>
  <c r="O41" i="86" s="1"/>
  <c r="I31" i="86"/>
  <c r="H64" i="84"/>
  <c r="I49" i="54"/>
  <c r="P24" i="87"/>
  <c r="L44" i="87"/>
  <c r="E11" i="72" s="1"/>
  <c r="F11" i="72" s="1"/>
  <c r="O49" i="86"/>
  <c r="Q13" i="80"/>
  <c r="G80" i="84"/>
  <c r="Q11" i="80"/>
  <c r="L42" i="87"/>
  <c r="K15" i="54"/>
  <c r="K10" i="54" s="1"/>
  <c r="AG10" i="80"/>
  <c r="AF10" i="80"/>
  <c r="AE10" i="80"/>
  <c r="Q26" i="86"/>
  <c r="Q31" i="86" s="1"/>
  <c r="Q42" i="86" s="1"/>
  <c r="AC15" i="80"/>
  <c r="AE15" i="80"/>
  <c r="AI13" i="80"/>
  <c r="AQ13" i="80" s="1"/>
  <c r="Y10" i="80"/>
  <c r="N10" i="80"/>
  <c r="L10" i="80"/>
  <c r="AD10" i="80"/>
  <c r="K9" i="80"/>
  <c r="Y9" i="80" s="1"/>
  <c r="G39" i="57"/>
  <c r="H26" i="84"/>
  <c r="J27" i="84"/>
  <c r="G54" i="57"/>
  <c r="K49" i="54"/>
  <c r="E44" i="85" s="1"/>
  <c r="F44" i="84" s="1"/>
  <c r="J44" i="84" s="1"/>
  <c r="K23" i="54"/>
  <c r="E42" i="85" s="1"/>
  <c r="F42" i="84" s="1"/>
  <c r="J42" i="84" s="1"/>
  <c r="F62" i="54"/>
  <c r="E69" i="85" s="1"/>
  <c r="I64" i="54"/>
  <c r="K64" i="54" s="1"/>
  <c r="K62" i="54" s="1"/>
  <c r="E45" i="85" s="1"/>
  <c r="F29" i="84"/>
  <c r="AE12" i="80"/>
  <c r="L12" i="80"/>
  <c r="AF12" i="80"/>
  <c r="Y12" i="80"/>
  <c r="AD12" i="80"/>
  <c r="N12" i="80"/>
  <c r="AC12" i="80"/>
  <c r="AG12" i="80"/>
  <c r="J52" i="84"/>
  <c r="F50" i="84"/>
  <c r="H52" i="84"/>
  <c r="H50" i="84" s="1"/>
  <c r="G37" i="86"/>
  <c r="G56" i="86"/>
  <c r="G93" i="86"/>
  <c r="G41" i="86"/>
  <c r="G52" i="86"/>
  <c r="G38" i="86"/>
  <c r="G55" i="86"/>
  <c r="G49" i="86"/>
  <c r="H31" i="86"/>
  <c r="G58" i="86"/>
  <c r="G39" i="86"/>
  <c r="G57" i="86"/>
  <c r="G54" i="86"/>
  <c r="G95" i="86" s="1"/>
  <c r="H95" i="86" s="1"/>
  <c r="G36" i="86"/>
  <c r="G40" i="86"/>
  <c r="G60" i="86"/>
  <c r="G65" i="86"/>
  <c r="G62" i="86"/>
  <c r="G61" i="86"/>
  <c r="E65" i="85"/>
  <c r="F65" i="84" s="1"/>
  <c r="J36" i="84"/>
  <c r="H36" i="84"/>
  <c r="E56" i="86"/>
  <c r="E57" i="86"/>
  <c r="E54" i="86"/>
  <c r="E95" i="86" s="1"/>
  <c r="F95" i="86" s="1"/>
  <c r="E39" i="86"/>
  <c r="E37" i="86"/>
  <c r="E65" i="86"/>
  <c r="E93" i="86"/>
  <c r="F31" i="86"/>
  <c r="E62" i="86"/>
  <c r="E38" i="86"/>
  <c r="E60" i="86"/>
  <c r="E58" i="86"/>
  <c r="E52" i="86"/>
  <c r="E61" i="86"/>
  <c r="B63" i="86"/>
  <c r="E41" i="86"/>
  <c r="E55" i="86"/>
  <c r="E40" i="86"/>
  <c r="E49" i="86"/>
  <c r="E36" i="86"/>
  <c r="H92" i="84"/>
  <c r="J92" i="84"/>
  <c r="M57" i="86"/>
  <c r="M65" i="86"/>
  <c r="F20" i="84"/>
  <c r="E19" i="85"/>
  <c r="J63" i="84"/>
  <c r="H63" i="84"/>
  <c r="S26" i="86"/>
  <c r="S31" i="86" s="1"/>
  <c r="S42" i="86" s="1"/>
  <c r="E34" i="85"/>
  <c r="F7" i="65"/>
  <c r="J35" i="84"/>
  <c r="H35" i="84"/>
  <c r="G7" i="71"/>
  <c r="AI15" i="80" l="1"/>
  <c r="AI14" i="80"/>
  <c r="AI11" i="80"/>
  <c r="AJ11" i="80" s="1"/>
  <c r="F29" i="87" s="1"/>
  <c r="I29" i="87" s="1"/>
  <c r="Y8" i="80"/>
  <c r="L8" i="80"/>
  <c r="AE8" i="80"/>
  <c r="AG8" i="80"/>
  <c r="AC8" i="80"/>
  <c r="N8" i="80"/>
  <c r="C45" i="86"/>
  <c r="M54" i="86"/>
  <c r="M95" i="86" s="1"/>
  <c r="N95" i="86" s="1"/>
  <c r="O61" i="86"/>
  <c r="M40" i="86"/>
  <c r="O38" i="86"/>
  <c r="O52" i="86"/>
  <c r="O62" i="86"/>
  <c r="I56" i="86"/>
  <c r="I42" i="86"/>
  <c r="K65" i="86"/>
  <c r="K42" i="86"/>
  <c r="M41" i="86"/>
  <c r="O60" i="86"/>
  <c r="M55" i="86"/>
  <c r="M42" i="86"/>
  <c r="M49" i="86"/>
  <c r="M56" i="86"/>
  <c r="M93" i="86"/>
  <c r="N93" i="86" s="1"/>
  <c r="N97" i="86" s="1"/>
  <c r="P31" i="86"/>
  <c r="O42" i="86"/>
  <c r="H46" i="84"/>
  <c r="AF8" i="80"/>
  <c r="O65" i="86"/>
  <c r="O54" i="86"/>
  <c r="O95" i="86" s="1"/>
  <c r="P95" i="86" s="1"/>
  <c r="O55" i="86"/>
  <c r="O37" i="86"/>
  <c r="O58" i="86"/>
  <c r="M61" i="86"/>
  <c r="M39" i="86"/>
  <c r="M62" i="86"/>
  <c r="M58" i="86"/>
  <c r="N31" i="86"/>
  <c r="M52" i="86"/>
  <c r="M73" i="86" s="1"/>
  <c r="M76" i="86" s="1"/>
  <c r="N76" i="86" s="1"/>
  <c r="M36" i="86"/>
  <c r="M38" i="86"/>
  <c r="M45" i="86" s="1"/>
  <c r="N45" i="86" s="1"/>
  <c r="M60" i="86"/>
  <c r="H43" i="84"/>
  <c r="K93" i="86"/>
  <c r="L93" i="86" s="1"/>
  <c r="K41" i="86"/>
  <c r="K61" i="86"/>
  <c r="K39" i="86"/>
  <c r="K40" i="86"/>
  <c r="K38" i="86"/>
  <c r="K52" i="86"/>
  <c r="K37" i="86"/>
  <c r="L31" i="86"/>
  <c r="K36" i="86"/>
  <c r="K57" i="86"/>
  <c r="K60" i="86"/>
  <c r="K56" i="86"/>
  <c r="K49" i="86"/>
  <c r="K58" i="86"/>
  <c r="K55" i="86"/>
  <c r="K54" i="86"/>
  <c r="K95" i="86" s="1"/>
  <c r="L95" i="86" s="1"/>
  <c r="L97" i="86" s="1"/>
  <c r="K62" i="86"/>
  <c r="O57" i="86"/>
  <c r="O93" i="86"/>
  <c r="P93" i="86" s="1"/>
  <c r="P97" i="86" s="1"/>
  <c r="O39" i="86"/>
  <c r="O40" i="86"/>
  <c r="O36" i="86"/>
  <c r="O56" i="86"/>
  <c r="O73" i="86"/>
  <c r="O76" i="86" s="1"/>
  <c r="P76" i="86" s="1"/>
  <c r="I58" i="86"/>
  <c r="I37" i="86"/>
  <c r="I60" i="86"/>
  <c r="I41" i="86"/>
  <c r="I55" i="86"/>
  <c r="I65" i="86"/>
  <c r="I38" i="86"/>
  <c r="I39" i="86"/>
  <c r="I61" i="86"/>
  <c r="I36" i="86"/>
  <c r="I49" i="86"/>
  <c r="I40" i="86"/>
  <c r="I57" i="86"/>
  <c r="I54" i="86"/>
  <c r="I95" i="86" s="1"/>
  <c r="J95" i="86" s="1"/>
  <c r="I93" i="86"/>
  <c r="J93" i="86" s="1"/>
  <c r="J31" i="86"/>
  <c r="I62" i="86"/>
  <c r="I52" i="86"/>
  <c r="I62" i="54"/>
  <c r="L45" i="87"/>
  <c r="H42" i="84"/>
  <c r="AI10" i="80"/>
  <c r="AQ10" i="80" s="1"/>
  <c r="Q40" i="86"/>
  <c r="Q41" i="86"/>
  <c r="Q60" i="86"/>
  <c r="Q62" i="86"/>
  <c r="Q55" i="86"/>
  <c r="Q65" i="86"/>
  <c r="R31" i="86"/>
  <c r="Q52" i="86"/>
  <c r="Q61" i="86"/>
  <c r="Q38" i="86"/>
  <c r="Q58" i="86"/>
  <c r="Q56" i="86"/>
  <c r="Q36" i="86"/>
  <c r="Q57" i="86"/>
  <c r="Q93" i="86"/>
  <c r="Q49" i="86"/>
  <c r="Q73" i="86" s="1"/>
  <c r="Q76" i="86" s="1"/>
  <c r="R76" i="86" s="1"/>
  <c r="Q39" i="86"/>
  <c r="Q54" i="86"/>
  <c r="Q95" i="86" s="1"/>
  <c r="R95" i="86" s="1"/>
  <c r="Q37" i="86"/>
  <c r="G73" i="86"/>
  <c r="G76" i="86" s="1"/>
  <c r="H76" i="86" s="1"/>
  <c r="AJ13" i="80"/>
  <c r="F31" i="87" s="1"/>
  <c r="G31" i="87" s="1"/>
  <c r="J31" i="87" s="1"/>
  <c r="AI12" i="80"/>
  <c r="AJ12" i="80" s="1"/>
  <c r="F30" i="87" s="1"/>
  <c r="L9" i="80"/>
  <c r="AG9" i="80"/>
  <c r="AD9" i="80"/>
  <c r="AF9" i="80"/>
  <c r="N9" i="80"/>
  <c r="AE9" i="80"/>
  <c r="AC9" i="80"/>
  <c r="E62" i="85"/>
  <c r="F62" i="84" s="1"/>
  <c r="F89" i="54"/>
  <c r="G38" i="72" s="1"/>
  <c r="H44" i="84"/>
  <c r="S40" i="86"/>
  <c r="S58" i="86"/>
  <c r="S55" i="86"/>
  <c r="S62" i="86"/>
  <c r="S93" i="86"/>
  <c r="S65" i="86"/>
  <c r="S57" i="86"/>
  <c r="S37" i="86"/>
  <c r="T31" i="86"/>
  <c r="S39" i="86"/>
  <c r="S41" i="86"/>
  <c r="S52" i="86"/>
  <c r="S49" i="86"/>
  <c r="S38" i="86"/>
  <c r="S61" i="86"/>
  <c r="S56" i="86"/>
  <c r="S54" i="86"/>
  <c r="S95" i="86" s="1"/>
  <c r="T95" i="86" s="1"/>
  <c r="S36" i="86"/>
  <c r="S60" i="86"/>
  <c r="G45" i="86"/>
  <c r="H45" i="86" s="1"/>
  <c r="F34" i="84"/>
  <c r="E33" i="85"/>
  <c r="F19" i="85"/>
  <c r="G12" i="72"/>
  <c r="H12" i="72" s="1"/>
  <c r="I12" i="72" s="1"/>
  <c r="E97" i="86"/>
  <c r="F93" i="86"/>
  <c r="F97" i="86" s="1"/>
  <c r="F69" i="84"/>
  <c r="J8" i="54"/>
  <c r="K89" i="54" s="1"/>
  <c r="E41" i="85"/>
  <c r="J65" i="84"/>
  <c r="H65" i="84"/>
  <c r="F19" i="84"/>
  <c r="H20" i="84"/>
  <c r="H19" i="84" s="1"/>
  <c r="E45" i="86"/>
  <c r="E73" i="86"/>
  <c r="E76" i="86" s="1"/>
  <c r="G97" i="86"/>
  <c r="H93" i="86"/>
  <c r="H97" i="86" s="1"/>
  <c r="F45" i="84"/>
  <c r="I45" i="85"/>
  <c r="J29" i="84"/>
  <c r="H29" i="84"/>
  <c r="G50" i="84"/>
  <c r="AQ14" i="80" l="1"/>
  <c r="AJ14" i="80"/>
  <c r="F32" i="87" s="1"/>
  <c r="AJ15" i="80"/>
  <c r="F33" i="87" s="1"/>
  <c r="AQ15" i="80"/>
  <c r="AI8" i="80"/>
  <c r="AQ11" i="80"/>
  <c r="H29" i="87"/>
  <c r="K29" i="87" s="1"/>
  <c r="G29" i="87"/>
  <c r="J29" i="87" s="1"/>
  <c r="AJ10" i="80"/>
  <c r="F28" i="87" s="1"/>
  <c r="M97" i="86"/>
  <c r="E61" i="87"/>
  <c r="E63" i="87" s="1"/>
  <c r="E91" i="85" s="1"/>
  <c r="F91" i="84" s="1"/>
  <c r="H91" i="84" s="1"/>
  <c r="E49" i="87"/>
  <c r="E53" i="87" s="1"/>
  <c r="E89" i="85" s="1"/>
  <c r="F89" i="84" s="1"/>
  <c r="H89" i="84" s="1"/>
  <c r="AQ12" i="80"/>
  <c r="I73" i="86"/>
  <c r="I76" i="86" s="1"/>
  <c r="J76" i="86" s="1"/>
  <c r="O45" i="86"/>
  <c r="P45" i="86" s="1"/>
  <c r="O97" i="86"/>
  <c r="K45" i="86"/>
  <c r="L45" i="86" s="1"/>
  <c r="K73" i="86"/>
  <c r="K76" i="86" s="1"/>
  <c r="L76" i="86" s="1"/>
  <c r="K97" i="86"/>
  <c r="J97" i="86"/>
  <c r="D50" i="86"/>
  <c r="G50" i="86" s="1"/>
  <c r="I97" i="86"/>
  <c r="I45" i="86"/>
  <c r="J45" i="86" s="1"/>
  <c r="F91" i="54"/>
  <c r="K91" i="54"/>
  <c r="S73" i="86"/>
  <c r="S76" i="86" s="1"/>
  <c r="T76" i="86" s="1"/>
  <c r="H73" i="57"/>
  <c r="AI9" i="80"/>
  <c r="AQ9" i="80" s="1"/>
  <c r="Q45" i="86"/>
  <c r="R45" i="86" s="1"/>
  <c r="E61" i="85"/>
  <c r="R93" i="86"/>
  <c r="R97" i="86" s="1"/>
  <c r="Q97" i="86"/>
  <c r="H31" i="87"/>
  <c r="K31" i="87" s="1"/>
  <c r="I31" i="87"/>
  <c r="J34" i="84"/>
  <c r="H34" i="84"/>
  <c r="H33" i="84" s="1"/>
  <c r="F33" i="84"/>
  <c r="S45" i="86"/>
  <c r="T45" i="86" s="1"/>
  <c r="H62" i="84"/>
  <c r="H61" i="84" s="1"/>
  <c r="J62" i="84"/>
  <c r="F61" i="84"/>
  <c r="D45" i="86"/>
  <c r="F45" i="86"/>
  <c r="F41" i="84"/>
  <c r="E40" i="85"/>
  <c r="F76" i="86"/>
  <c r="D76" i="86"/>
  <c r="J45" i="84"/>
  <c r="E110" i="84" s="1"/>
  <c r="H45" i="84"/>
  <c r="G19" i="84"/>
  <c r="I19" i="84"/>
  <c r="J69" i="84"/>
  <c r="H69" i="84"/>
  <c r="S97" i="86"/>
  <c r="T93" i="86"/>
  <c r="T97" i="86" s="1"/>
  <c r="G14" i="72"/>
  <c r="H14" i="72" s="1"/>
  <c r="I14" i="72" s="1"/>
  <c r="F33" i="85"/>
  <c r="I30" i="87"/>
  <c r="G30" i="87"/>
  <c r="J30" i="87" s="1"/>
  <c r="H30" i="87"/>
  <c r="K30" i="87" s="1"/>
  <c r="G32" i="87" l="1"/>
  <c r="J32" i="87" s="1"/>
  <c r="H32" i="87"/>
  <c r="K32" i="87" s="1"/>
  <c r="I32" i="87"/>
  <c r="L32" i="87" s="1"/>
  <c r="I33" i="87"/>
  <c r="L33" i="87" s="1"/>
  <c r="H33" i="87"/>
  <c r="G33" i="87"/>
  <c r="AJ8" i="80"/>
  <c r="F26" i="87" s="1"/>
  <c r="AQ8" i="80"/>
  <c r="L29" i="87"/>
  <c r="J91" i="84"/>
  <c r="E107" i="84" s="1"/>
  <c r="L31" i="87"/>
  <c r="AJ9" i="80"/>
  <c r="F27" i="87" s="1"/>
  <c r="G27" i="87" s="1"/>
  <c r="J27" i="87" s="1"/>
  <c r="I73" i="57"/>
  <c r="E84" i="57"/>
  <c r="F84" i="57" s="1"/>
  <c r="O50" i="86"/>
  <c r="E50" i="86"/>
  <c r="D53" i="86"/>
  <c r="K53" i="86" s="1"/>
  <c r="Q50" i="86"/>
  <c r="S50" i="86"/>
  <c r="K50" i="86"/>
  <c r="I50" i="86"/>
  <c r="M50" i="86"/>
  <c r="J89" i="84"/>
  <c r="E108" i="84" s="1"/>
  <c r="E72" i="57"/>
  <c r="F72" i="57" s="1"/>
  <c r="F82" i="57"/>
  <c r="E69" i="87"/>
  <c r="F88" i="84"/>
  <c r="E88" i="85"/>
  <c r="F81" i="57"/>
  <c r="F80" i="57"/>
  <c r="G20" i="87"/>
  <c r="J20" i="87" s="1"/>
  <c r="I20" i="87"/>
  <c r="H20" i="87"/>
  <c r="K20" i="87" s="1"/>
  <c r="H28" i="87"/>
  <c r="K28" i="87" s="1"/>
  <c r="I28" i="87"/>
  <c r="G28" i="87"/>
  <c r="J28" i="87" s="1"/>
  <c r="H88" i="84"/>
  <c r="L30" i="87"/>
  <c r="G61" i="84"/>
  <c r="G15" i="72"/>
  <c r="H15" i="72" s="1"/>
  <c r="I15" i="72" s="1"/>
  <c r="F40" i="85"/>
  <c r="G33" i="84"/>
  <c r="I33" i="84"/>
  <c r="J41" i="84"/>
  <c r="E111" i="84" s="1"/>
  <c r="H41" i="84"/>
  <c r="H40" i="84" s="1"/>
  <c r="F40" i="84"/>
  <c r="I26" i="87" l="1"/>
  <c r="G26" i="87"/>
  <c r="J26" i="87" s="1"/>
  <c r="J36" i="87" s="1"/>
  <c r="H26" i="87"/>
  <c r="K26" i="87" s="1"/>
  <c r="H27" i="87"/>
  <c r="K27" i="87" s="1"/>
  <c r="I27" i="87"/>
  <c r="K67" i="86"/>
  <c r="L67" i="86" s="1"/>
  <c r="L84" i="86" s="1"/>
  <c r="F16" i="87" s="1"/>
  <c r="I16" i="87" s="1"/>
  <c r="G53" i="86"/>
  <c r="G67" i="86" s="1"/>
  <c r="H67" i="86" s="1"/>
  <c r="H84" i="86" s="1"/>
  <c r="G99" i="86" s="1"/>
  <c r="O53" i="86"/>
  <c r="O67" i="86" s="1"/>
  <c r="P67" i="86" s="1"/>
  <c r="P84" i="86" s="1"/>
  <c r="E53" i="86"/>
  <c r="E67" i="86" s="1"/>
  <c r="D67" i="86" s="1"/>
  <c r="S53" i="86"/>
  <c r="S67" i="86" s="1"/>
  <c r="T67" i="86" s="1"/>
  <c r="T84" i="86" s="1"/>
  <c r="S99" i="86" s="1"/>
  <c r="I53" i="86"/>
  <c r="I67" i="86" s="1"/>
  <c r="J67" i="86" s="1"/>
  <c r="J84" i="86" s="1"/>
  <c r="Q53" i="86"/>
  <c r="Q67" i="86" s="1"/>
  <c r="R67" i="86" s="1"/>
  <c r="R84" i="86" s="1"/>
  <c r="R85" i="86" s="1"/>
  <c r="M53" i="86"/>
  <c r="M67" i="86" s="1"/>
  <c r="N67" i="86" s="1"/>
  <c r="N84" i="86" s="1"/>
  <c r="F15" i="87" s="1"/>
  <c r="F87" i="57"/>
  <c r="E30" i="85" s="1"/>
  <c r="I26" i="85" s="1"/>
  <c r="G88" i="84"/>
  <c r="L28" i="87"/>
  <c r="L20" i="87"/>
  <c r="I88" i="84"/>
  <c r="G40" i="84"/>
  <c r="I40" i="84"/>
  <c r="I36" i="87" l="1"/>
  <c r="L26" i="87"/>
  <c r="L27" i="87"/>
  <c r="L36" i="87" s="1"/>
  <c r="N30" i="87" s="1"/>
  <c r="K36" i="87"/>
  <c r="F18" i="87"/>
  <c r="O12" i="84" s="1"/>
  <c r="H86" i="86"/>
  <c r="H16" i="87"/>
  <c r="K16" i="87" s="1"/>
  <c r="G16" i="87"/>
  <c r="J16" i="87" s="1"/>
  <c r="L86" i="86"/>
  <c r="H85" i="86"/>
  <c r="K99" i="86"/>
  <c r="L85" i="86"/>
  <c r="P85" i="86"/>
  <c r="F14" i="87"/>
  <c r="P86" i="86"/>
  <c r="O99" i="86"/>
  <c r="F17" i="87"/>
  <c r="G17" i="87" s="1"/>
  <c r="J17" i="87" s="1"/>
  <c r="I99" i="86"/>
  <c r="J85" i="86"/>
  <c r="M99" i="86"/>
  <c r="G15" i="87"/>
  <c r="J15" i="87" s="1"/>
  <c r="J86" i="86"/>
  <c r="N86" i="86"/>
  <c r="N85" i="86"/>
  <c r="Q99" i="86"/>
  <c r="T85" i="86"/>
  <c r="T86" i="86"/>
  <c r="F67" i="86"/>
  <c r="F84" i="86" s="1"/>
  <c r="F85" i="86" s="1"/>
  <c r="E25" i="85"/>
  <c r="G13" i="72" s="1"/>
  <c r="H13" i="72" s="1"/>
  <c r="I13" i="72" s="1"/>
  <c r="F30" i="84"/>
  <c r="H30" i="84" s="1"/>
  <c r="H25" i="84" s="1"/>
  <c r="H88" i="57"/>
  <c r="F7" i="57"/>
  <c r="G7" i="57" s="1"/>
  <c r="H15" i="87"/>
  <c r="K15" i="87" s="1"/>
  <c r="I15" i="87"/>
  <c r="E13" i="85" l="1"/>
  <c r="F15" i="84" s="1"/>
  <c r="H15" i="84" s="1"/>
  <c r="G18" i="87"/>
  <c r="J18" i="87" s="1"/>
  <c r="I18" i="87"/>
  <c r="H18" i="87"/>
  <c r="K18" i="87" s="1"/>
  <c r="H17" i="87"/>
  <c r="K17" i="87" s="1"/>
  <c r="L16" i="87"/>
  <c r="G14" i="87"/>
  <c r="J14" i="87" s="1"/>
  <c r="H14" i="87"/>
  <c r="K14" i="87" s="1"/>
  <c r="I14" i="87"/>
  <c r="I17" i="87"/>
  <c r="O11" i="84"/>
  <c r="F19" i="87"/>
  <c r="E99" i="86"/>
  <c r="F86" i="86"/>
  <c r="F25" i="85"/>
  <c r="F25" i="84"/>
  <c r="G25" i="84" s="1"/>
  <c r="J30" i="84"/>
  <c r="E105" i="84" s="1"/>
  <c r="E109" i="84" s="1"/>
  <c r="L15" i="87"/>
  <c r="I25" i="84"/>
  <c r="J15" i="84" l="1"/>
  <c r="E112" i="84" s="1"/>
  <c r="E113" i="84" s="1"/>
  <c r="I13" i="85"/>
  <c r="I11" i="85" s="1"/>
  <c r="L18" i="87"/>
  <c r="L17" i="87"/>
  <c r="L14" i="87"/>
  <c r="I19" i="87"/>
  <c r="I24" i="87" s="1"/>
  <c r="M24" i="87" s="1"/>
  <c r="O13" i="84"/>
  <c r="G19" i="87"/>
  <c r="J19" i="87" s="1"/>
  <c r="J24" i="87" s="1"/>
  <c r="J43" i="87" s="1"/>
  <c r="H19" i="87"/>
  <c r="K19" i="87" s="1"/>
  <c r="K24" i="87" s="1"/>
  <c r="K43" i="87" s="1"/>
  <c r="I43" i="87" l="1"/>
  <c r="L19" i="87"/>
  <c r="L24" i="87" s="1"/>
  <c r="E12" i="85" s="1"/>
  <c r="E11" i="85" s="1"/>
  <c r="F14" i="84" l="1"/>
  <c r="F13" i="84" s="1"/>
  <c r="L43" i="87"/>
  <c r="E70" i="85"/>
  <c r="F11" i="85"/>
  <c r="G11" i="72"/>
  <c r="E71" i="85"/>
  <c r="F71" i="84" s="1"/>
  <c r="H14" i="84" l="1"/>
  <c r="H13" i="84" s="1"/>
  <c r="G13" i="84" s="1"/>
  <c r="J71" i="84"/>
  <c r="H71" i="84"/>
  <c r="H11" i="72"/>
  <c r="E46" i="72"/>
  <c r="E48" i="72"/>
  <c r="F70" i="84"/>
  <c r="E67" i="85"/>
  <c r="E48" i="85" s="1"/>
  <c r="I13" i="84" l="1"/>
  <c r="G16" i="72"/>
  <c r="F48" i="85"/>
  <c r="E9" i="85"/>
  <c r="G48" i="85" s="1"/>
  <c r="H70" i="84"/>
  <c r="H67" i="84" s="1"/>
  <c r="J70" i="84"/>
  <c r="F67" i="84"/>
  <c r="F48" i="84" s="1"/>
  <c r="F11" i="84" s="1"/>
  <c r="I11" i="72"/>
  <c r="F9" i="85" l="1"/>
  <c r="D75" i="85"/>
  <c r="G19" i="85"/>
  <c r="G33" i="85"/>
  <c r="G40" i="85"/>
  <c r="G25" i="85"/>
  <c r="G11" i="85"/>
  <c r="G67" i="84"/>
  <c r="H48" i="84"/>
  <c r="H16" i="72"/>
  <c r="G18" i="72"/>
  <c r="G9" i="85" l="1"/>
  <c r="I16" i="72"/>
  <c r="I18" i="72" s="1"/>
  <c r="H18" i="72"/>
  <c r="I48" i="84"/>
  <c r="G48" i="84"/>
  <c r="H11" i="84"/>
  <c r="I11" i="84" l="1"/>
  <c r="G11" i="84"/>
  <c r="G7" i="84"/>
  <c r="G20" i="72" s="1"/>
  <c r="H20" i="72" l="1"/>
  <c r="I20" i="72" s="1"/>
  <c r="X65" i="76"/>
  <c r="H7" i="84"/>
  <c r="H6" i="84" l="1"/>
  <c r="H8" i="84"/>
  <c r="I8" i="84" s="1"/>
  <c r="J7" i="84"/>
  <c r="K42" i="84"/>
  <c r="I7" i="84"/>
  <c r="K7" i="84" s="1"/>
  <c r="G24" i="72"/>
  <c r="L9" i="84"/>
  <c r="B9" i="84"/>
  <c r="J19" i="84"/>
  <c r="J33" i="84"/>
  <c r="O14" i="72" s="1"/>
  <c r="J40" i="84"/>
  <c r="O15" i="72" s="1"/>
  <c r="J25" i="84"/>
  <c r="O13" i="72" s="1"/>
  <c r="J13" i="84"/>
  <c r="J48" i="84"/>
  <c r="P11" i="84" l="1"/>
  <c r="Q11" i="84" s="1"/>
  <c r="P13" i="84"/>
  <c r="Q13" i="84" s="1"/>
  <c r="R13" i="84" s="1"/>
  <c r="P12" i="84"/>
  <c r="Q12" i="84" s="1"/>
  <c r="O11" i="72"/>
  <c r="J11" i="84"/>
  <c r="X67" i="76"/>
  <c r="X66" i="76" s="1"/>
  <c r="G26" i="72"/>
  <c r="H26" i="72" s="1"/>
  <c r="I26" i="72" s="1"/>
  <c r="F48" i="72"/>
  <c r="J48" i="72" s="1"/>
  <c r="G22" i="72"/>
  <c r="H24" i="72"/>
  <c r="F46" i="72"/>
  <c r="J46" i="72" s="1"/>
  <c r="F38" i="72"/>
  <c r="R11" i="84" l="1"/>
  <c r="S13" i="84" s="1"/>
  <c r="AH66" i="76"/>
  <c r="U66" i="76"/>
  <c r="R11" i="72" s="1"/>
  <c r="I24" i="72"/>
  <c r="I28" i="72" s="1"/>
  <c r="I31" i="72" s="1"/>
  <c r="H28" i="72"/>
  <c r="H31" i="72" s="1"/>
  <c r="O16" i="72"/>
  <c r="O18" i="72" s="1"/>
  <c r="E22" i="72"/>
  <c r="H22" i="72"/>
  <c r="I22" i="72" s="1"/>
  <c r="G28" i="72"/>
  <c r="G31" i="72" s="1"/>
  <c r="I33" i="72" l="1"/>
  <c r="I35" i="72" s="1"/>
  <c r="G36" i="72" s="1"/>
  <c r="G39" i="72" s="1"/>
  <c r="H33" i="72"/>
  <c r="H35" i="72" s="1"/>
  <c r="G33" i="72"/>
  <c r="G35" i="72" s="1"/>
  <c r="G46" i="72" l="1"/>
  <c r="G48" i="72"/>
  <c r="F35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Gorgerino</author>
  </authors>
  <commentList>
    <comment ref="F7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>IMPUESTOS DIRECTOS:
1.- I.I.B.B.
2.- IMP. AL CHEQUE
3.- TASA MUNICIPAL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Gorgerino</author>
  </authors>
  <commentList>
    <comment ref="B1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COLOCAR:
1 CON COBERTURA DE LICENCIAS
0 SIN COBERTURA DE LIENCIAS</t>
        </r>
      </text>
    </comment>
  </commentList>
</comments>
</file>

<file path=xl/sharedStrings.xml><?xml version="1.0" encoding="utf-8"?>
<sst xmlns="http://schemas.openxmlformats.org/spreadsheetml/2006/main" count="1125" uniqueCount="859">
  <si>
    <t>HOJA DE CIERRE PROPUESTA</t>
  </si>
  <si>
    <r>
      <t>IMA Servicios Industriales</t>
    </r>
    <r>
      <rPr>
        <i/>
        <sz val="12"/>
        <color indexed="21"/>
        <rFont val="Arial"/>
        <family val="2"/>
      </rPr>
      <t xml:space="preserve"> Argentina S.A.</t>
    </r>
  </si>
  <si>
    <t>NOMBRE PROPUESTA:</t>
  </si>
  <si>
    <t>NOMBRE CLIENTE:</t>
  </si>
  <si>
    <t>FECHA:</t>
  </si>
  <si>
    <t>REFERENCIA CLIENTE:</t>
  </si>
  <si>
    <t>C.I.</t>
  </si>
  <si>
    <t>SOLICITADO POR:</t>
  </si>
  <si>
    <t>CARGO:</t>
  </si>
  <si>
    <t>COTIZADO POR:</t>
  </si>
  <si>
    <t>SHM</t>
  </si>
  <si>
    <t>Vendedor:</t>
  </si>
  <si>
    <t>REVISADO POR:</t>
  </si>
  <si>
    <t>OFERTA Nº:</t>
  </si>
  <si>
    <t>OBJETIVO Y ALCANCE:</t>
  </si>
  <si>
    <t>GARANTIAS:</t>
  </si>
  <si>
    <t>SI</t>
  </si>
  <si>
    <t>NO</t>
  </si>
  <si>
    <t>DESCRIPCION</t>
  </si>
  <si>
    <t>SERIEDAD DE LA OFERTA</t>
  </si>
  <si>
    <t>FIEL CUMPLIMIENTO</t>
  </si>
  <si>
    <t>RETENCIONES</t>
  </si>
  <si>
    <t>X</t>
  </si>
  <si>
    <t>RETENCIÓN DE IVA, IIGG E IIBB</t>
  </si>
  <si>
    <t>MULTAS:</t>
  </si>
  <si>
    <t>POR PLAZO DE HITOS</t>
  </si>
  <si>
    <t>PERSONAL</t>
  </si>
  <si>
    <t>EQUIPOS</t>
  </si>
  <si>
    <t>MEDIO AMBIENTE</t>
  </si>
  <si>
    <t>SEGUROS:</t>
  </si>
  <si>
    <t>ACCIDENTES TRABAJO Y EP</t>
  </si>
  <si>
    <t>ART</t>
  </si>
  <si>
    <t>VEHICULOS</t>
  </si>
  <si>
    <t>SEGURO</t>
  </si>
  <si>
    <t>RESPONSABILIDAD CIVIL</t>
  </si>
  <si>
    <t>ACCIDENTES PERSONALES</t>
  </si>
  <si>
    <t>AÑOS</t>
  </si>
  <si>
    <t>DURACION DEL CONTRATO:</t>
  </si>
  <si>
    <t>COMPETENCIA:</t>
  </si>
  <si>
    <t>TIPO DE CONTRATO:</t>
  </si>
  <si>
    <t>VALOR POR HH</t>
  </si>
  <si>
    <t>MONEDA Y REAJUSTABILIDAD:</t>
  </si>
  <si>
    <t>PESOS ARGENTINOS</t>
  </si>
  <si>
    <t>FORMA DE PAGO:</t>
  </si>
  <si>
    <t>30 DIAS FECHA FACTURA</t>
  </si>
  <si>
    <t>PROGRAMA DE CONTROL DE RIESGOS:</t>
  </si>
  <si>
    <t>PLAN DE ASEGURAMIENTO DE CALIDAD:</t>
  </si>
  <si>
    <t>TOTAL COSTO DIRECTOS DE EXPLOTACIÓN + IMP. DIRECTOS</t>
  </si>
  <si>
    <t>MES</t>
  </si>
  <si>
    <t>MARGEN BRUTO (RESULTADO OPERACIONAL)</t>
  </si>
  <si>
    <t>MARGEN IMA</t>
  </si>
  <si>
    <r>
      <t>PRECIO DE VENTA</t>
    </r>
    <r>
      <rPr>
        <sz val="10"/>
        <color indexed="21"/>
        <rFont val="Arial"/>
        <family val="2"/>
      </rPr>
      <t xml:space="preserve"> (sin IVA)</t>
    </r>
  </si>
  <si>
    <t>FIRMAS COMITE DE CIERRE:</t>
  </si>
  <si>
    <t>SINTESIS DE PRESUPUESTO DE VENTA</t>
  </si>
  <si>
    <t>CLIENTE:</t>
  </si>
  <si>
    <t>Cotizó:</t>
  </si>
  <si>
    <t>SERVICIO PROYECTO :</t>
  </si>
  <si>
    <t>Vendió:</t>
  </si>
  <si>
    <t>Revisó:</t>
  </si>
  <si>
    <t>PLIEGO / E.T.P.:</t>
  </si>
  <si>
    <t>Fecha:</t>
  </si>
  <si>
    <t>OFERTA N°:</t>
  </si>
  <si>
    <t>Revisión</t>
  </si>
  <si>
    <t>COSTOS</t>
  </si>
  <si>
    <t>TOTAL HH</t>
  </si>
  <si>
    <t>TOTAL Ho</t>
  </si>
  <si>
    <t>VALOR MES</t>
  </si>
  <si>
    <t>VALOR AÑO</t>
  </si>
  <si>
    <t>VALOR CONTRATO</t>
  </si>
  <si>
    <t>CONCEPTOS</t>
  </si>
  <si>
    <t>PONDERACION PORCENTUAL</t>
  </si>
  <si>
    <t>INDICES DE ACTULIZACION</t>
  </si>
  <si>
    <t>MANO DE OBRA</t>
  </si>
  <si>
    <t>Escala Salarial U.O.M. Oct-09</t>
  </si>
  <si>
    <t>MARGEN A MANO DE OBRA</t>
  </si>
  <si>
    <t>SUMINISTRO DE MATERIALES</t>
  </si>
  <si>
    <t>MATERIALES</t>
  </si>
  <si>
    <t>-------</t>
  </si>
  <si>
    <t>SUMINISTRO DE INSUMOS</t>
  </si>
  <si>
    <t>INSUMOS CONSUMIBLES +  EPP</t>
  </si>
  <si>
    <t>IPIM - NG Oct-09</t>
  </si>
  <si>
    <t>SUBCONTRATACIONES</t>
  </si>
  <si>
    <t>COMBUSTIBLES</t>
  </si>
  <si>
    <t>Precio Gas-Oil Oct-09</t>
  </si>
  <si>
    <t>AMORTIZACIONES</t>
  </si>
  <si>
    <t>Dólar Estadounidense 3,80 $/u$s</t>
  </si>
  <si>
    <t>GASTOS GENERALES DE OPERACIÓN (DIRECTOS)</t>
  </si>
  <si>
    <t>SUBCONTRATACIONES + GTOS GRALES</t>
  </si>
  <si>
    <t>TOTAL COSTOS DIRECTOS DE EXPLOTACIÓN</t>
  </si>
  <si>
    <t>IMPUESTOS DIRECTOS DE FACTURACIÓN ====&gt;&gt;&gt;</t>
  </si>
  <si>
    <t>MARGEN BRUTO / UTILIDAD BRUTA</t>
  </si>
  <si>
    <t>PRECIO DE VENTA TOTAL SIN IVA</t>
  </si>
  <si>
    <t>(Costo + Impuestos + Utilidad)</t>
  </si>
  <si>
    <t>I.V.A.</t>
  </si>
  <si>
    <t>PRECIO DE VENTA TOTAL CON I.V.A.</t>
  </si>
  <si>
    <t>VENTA NETA ( Despues de IVA e Impuestos Directos de Facturación)</t>
  </si>
  <si>
    <t>GASTOS GENERALES DE ESTRUCTURA</t>
  </si>
  <si>
    <t>UTILIDAD NETA OPERATIVA MENSUAL</t>
  </si>
  <si>
    <t>UTILIDAD NETA OPERATIVA TOTAL (Acumulada)  - Estimación</t>
  </si>
  <si>
    <t>(INVERSIÓN / FACTURACIÓN) ---- INVERSIÓN</t>
  </si>
  <si>
    <t>R.O.I. (RENTABILIDAD SOBRE LA INVERSIÓN)</t>
  </si>
  <si>
    <t>ANALISIS COMPARATIVO DE ITMS UNITARIOS</t>
  </si>
  <si>
    <t>COSTO MO</t>
  </si>
  <si>
    <t xml:space="preserve">PRECIO VENTA </t>
  </si>
  <si>
    <t>UTILIDAD NETA OPERATIVA</t>
  </si>
  <si>
    <t>MAKE-UP</t>
  </si>
  <si>
    <t>POR HOMBRE (Ho)</t>
  </si>
  <si>
    <t>POR HORA HOMRE (HH)</t>
  </si>
  <si>
    <t>AUTORIZADO POR:</t>
  </si>
  <si>
    <t>FUNCIÓN/CARGO:</t>
  </si>
  <si>
    <t>FIRMA:</t>
  </si>
  <si>
    <t>COMENTARIOS:</t>
  </si>
  <si>
    <t>PRESUPUESTO INTERNO DE VENTA</t>
  </si>
  <si>
    <t>J. de PROYECTO:</t>
  </si>
  <si>
    <t>OBRA :</t>
  </si>
  <si>
    <t>Elaboró:</t>
  </si>
  <si>
    <t>MARGEN BRUTO FINAL</t>
  </si>
  <si>
    <t>PRECIO DE VENTA CON IMPUESTOS</t>
  </si>
  <si>
    <t>DOTACIÓN</t>
  </si>
  <si>
    <r>
      <t xml:space="preserve">MARGEN BRUTO </t>
    </r>
    <r>
      <rPr>
        <sz val="12"/>
        <rFont val="Arial"/>
        <family val="2"/>
      </rPr>
      <t>(sin impuestos)</t>
    </r>
  </si>
  <si>
    <r>
      <t>PRECIO VENTA</t>
    </r>
    <r>
      <rPr>
        <sz val="12"/>
        <rFont val="Arial"/>
        <family val="2"/>
      </rPr>
      <t xml:space="preserve"> (sin impuestos)</t>
    </r>
  </si>
  <si>
    <t>PRECIO VENTA 
POR H-H</t>
  </si>
  <si>
    <t>% DE DISTRIBUCIÓN</t>
  </si>
  <si>
    <t>MARGEN BRUTO TRADICIONAL</t>
  </si>
  <si>
    <t>factor he</t>
  </si>
  <si>
    <t>2 OP</t>
  </si>
  <si>
    <t>Bruto</t>
  </si>
  <si>
    <t>General</t>
  </si>
  <si>
    <t>Total</t>
  </si>
  <si>
    <t>ITEMS</t>
  </si>
  <si>
    <t>1- MANO DE OBRA</t>
  </si>
  <si>
    <t>2- SUMINISTRO DE MATERIALES</t>
  </si>
  <si>
    <t>3- SUMINISTRO DE INSUMOS</t>
  </si>
  <si>
    <t>4- SUBCONTRATACIONES</t>
  </si>
  <si>
    <t>5- AMORTIZACIONES</t>
  </si>
  <si>
    <t>6- GASTOS GENERALES</t>
  </si>
  <si>
    <t>6.1 Servicios</t>
  </si>
  <si>
    <t>6.2 Alquileres y Leassing</t>
  </si>
  <si>
    <t>6.3 Mantenimiento</t>
  </si>
  <si>
    <t>6.4 Previsiones Operativas</t>
  </si>
  <si>
    <t>6.5 Seguros</t>
  </si>
  <si>
    <t>6.6 Otros Gastos Generales</t>
  </si>
  <si>
    <t>6.7 Viaticos</t>
  </si>
  <si>
    <t>6.7.1 Comidas</t>
  </si>
  <si>
    <t>6.7.2 Alojamiento</t>
  </si>
  <si>
    <t>6.7.3 Traslados</t>
  </si>
  <si>
    <t>6.7.4 Vehiculos</t>
  </si>
  <si>
    <t>Firma Jefe de Proyecto</t>
  </si>
  <si>
    <t>Indumentaria</t>
  </si>
  <si>
    <t>Servicio Médico</t>
  </si>
  <si>
    <t>Transporte</t>
  </si>
  <si>
    <t>Refrigerio</t>
  </si>
  <si>
    <t>Otros (EPP)</t>
  </si>
  <si>
    <t>Consumibles y herramientas</t>
  </si>
  <si>
    <t>Vehiculos y obradores</t>
  </si>
  <si>
    <t>Costos Estructura No Operativa</t>
  </si>
  <si>
    <t>PRESUPUESTO INTERNO DE COSTOS Y GASTOS</t>
  </si>
  <si>
    <t>COSTOS TOTALES</t>
  </si>
  <si>
    <t>COSTOS UNITARIOS</t>
  </si>
  <si>
    <t>COSTO NO CUBIERTO</t>
  </si>
  <si>
    <t>1.1 Directa (Personal de Convenio)</t>
  </si>
  <si>
    <t>COSTO SUPERVISOR ADICIONALES</t>
  </si>
  <si>
    <t>1.2 Indirecta (Personal fuera de Convenio)</t>
  </si>
  <si>
    <t>COSTO MO SUPERVISION PONDERADA</t>
  </si>
  <si>
    <t>1.3 Cobertura de licencias (Horas-Hombre)</t>
  </si>
  <si>
    <t>1.4 Mano de Obra Eventual</t>
  </si>
  <si>
    <t>COSTO HORA HOMBRE DE REFERENCIA P/COBERTURA DE LICENCIAS</t>
  </si>
  <si>
    <t>2.1 Materiales Mecánicos</t>
  </si>
  <si>
    <t>2.2 Materiales Eléctricos</t>
  </si>
  <si>
    <t>2.3 Materiales de Automación e Informática</t>
  </si>
  <si>
    <t>2.4 Materiales Diversos</t>
  </si>
  <si>
    <t>3.1 Insumos consumibles (Insumos de Mantenimto y operación)</t>
  </si>
  <si>
    <t>COSTO DE INSUMOS+EPP</t>
  </si>
  <si>
    <t>3.2 Combustibles, filtros y lubricantes de Rodados y Máquinas</t>
  </si>
  <si>
    <t>3.3 Insumos informáticos y de Oficina</t>
  </si>
  <si>
    <t>3.4 Insumos de Limpieza y Cafetería</t>
  </si>
  <si>
    <t>3.5 Elementos de Protección Personal y de Seguridad Especiales</t>
  </si>
  <si>
    <t>3.6 Insumos Diversos</t>
  </si>
  <si>
    <t>4.1 Honorarios Profesionales</t>
  </si>
  <si>
    <t>4.2 Servicios Técnicos Especializados</t>
  </si>
  <si>
    <t>4.3 Transportes, Fletes, Carga y descarga</t>
  </si>
  <si>
    <t>4.4 Trabajos ejecutados por Terceros</t>
  </si>
  <si>
    <t>4.5 Servicio Varios / Otros</t>
  </si>
  <si>
    <t>5.1 Amortizacion de Rodados</t>
  </si>
  <si>
    <t>5.2 Amortización de Muebles y Útiles</t>
  </si>
  <si>
    <t>5.3 Amortización de Instalaciones y adecuación de locales</t>
  </si>
  <si>
    <t>5.4 Amortización de Medios Informáticos y de Comunicación</t>
  </si>
  <si>
    <t>5.5 Amortización de Máquinas y Herramientas</t>
  </si>
  <si>
    <t>COSTO AMORT. HTAS PONDERADO</t>
  </si>
  <si>
    <t>5.6 Amortización de Gastos de Implementación</t>
  </si>
  <si>
    <t>TELEFONIA MOVIL NEXTEL</t>
  </si>
  <si>
    <t>6.1.1 Servicio de Correos y Bolsas</t>
  </si>
  <si>
    <t>APARATOS</t>
  </si>
  <si>
    <t>ABONO</t>
  </si>
  <si>
    <t>SOLO RADIO</t>
  </si>
  <si>
    <t>6.1.2 Servicio de Telecomunicación</t>
  </si>
  <si>
    <t>400 min</t>
  </si>
  <si>
    <t>6.1.3 Servicios esenciales (Electricidad, Agua y Gas)</t>
  </si>
  <si>
    <t>200 min</t>
  </si>
  <si>
    <t>6.2.1 Locales</t>
  </si>
  <si>
    <t>ALQUILER DE APARATOS PROM MES</t>
  </si>
  <si>
    <t>6.2.2 Máquinas y equipos</t>
  </si>
  <si>
    <t>6.2.3 Rodados</t>
  </si>
  <si>
    <t>6.2.4 Fotocopiadora, fax y medios de Comunicación</t>
  </si>
  <si>
    <t>6.3.1 Repuestos de Máquinas y Equipos Propios</t>
  </si>
  <si>
    <t>6.3.2 Mantenimiento y Refacción de Locales</t>
  </si>
  <si>
    <t>6.3.3 Mantenimiento Informático</t>
  </si>
  <si>
    <t>6.3.4 Mantenimiento de Rodados</t>
  </si>
  <si>
    <t>6.4.1 Reposición de Medios en Comodato</t>
  </si>
  <si>
    <t>6.4.2 Reposición de Herramientas y Medios Propios</t>
  </si>
  <si>
    <t>6.4.3 Previsión por Multas y Penalizaciones</t>
  </si>
  <si>
    <t>6.4.4 Otras Previsiones - Imprevistos</t>
  </si>
  <si>
    <t>6.5.1 Seguros de Rodados</t>
  </si>
  <si>
    <t>6.5.2 Seguro de Responsabilidad Civil</t>
  </si>
  <si>
    <t>POLIZA ANUAL POR $1.000.000</t>
  </si>
  <si>
    <t>6.5.3 Seguro de Caución</t>
  </si>
  <si>
    <t>6.5.4 Seguro de Máquinas, muebles y útiles</t>
  </si>
  <si>
    <t>6.5.5 Otras coberturas de Seguro</t>
  </si>
  <si>
    <t>6.6.1 Impuesto a los sellos</t>
  </si>
  <si>
    <t>6.6.2 Garantia de adjudicación</t>
  </si>
  <si>
    <t>6.6.3 Fondo de Reparo</t>
  </si>
  <si>
    <t>6.6.4 Costo financiero</t>
  </si>
  <si>
    <t>6.6.5 Gastos de Rte. Técnico, o Entes Gubernamentales</t>
  </si>
  <si>
    <t>6.6.6 Otros Gastos Generales (COSTO ESTRUCTURA + IVA RETENIDO)</t>
  </si>
  <si>
    <t>6.7 Viáticos</t>
  </si>
  <si>
    <t>6.7.1 Refrigerios</t>
  </si>
  <si>
    <t>TRANSPORTE</t>
  </si>
  <si>
    <t>6.7.2 Alojamientos</t>
  </si>
  <si>
    <t>Jefe de Proyecto</t>
  </si>
  <si>
    <t>R.U.S. / Resp. PROYECTO</t>
  </si>
  <si>
    <t>1 - MANO DE OBRA</t>
  </si>
  <si>
    <t>PLIEGO / E.T.P.Nº:</t>
  </si>
  <si>
    <t>COEF. POR HORAS EXTRAS</t>
  </si>
  <si>
    <t>MANO DE OBRA DIRECTA (UOM + ASMRA)</t>
  </si>
  <si>
    <t>CANTIDAD HHN</t>
  </si>
  <si>
    <t>CANTIDAD HH 50%</t>
  </si>
  <si>
    <t>CANTIDAD HH 100%</t>
  </si>
  <si>
    <t>Costo Unit. HHN</t>
  </si>
  <si>
    <t>Costo Unit. HH 50%</t>
  </si>
  <si>
    <t>Costo Unit. HH 100%</t>
  </si>
  <si>
    <t>Costo Horas Normales</t>
  </si>
  <si>
    <t>Costo 
Horas 50%</t>
  </si>
  <si>
    <t>Costo 
Horas 100%</t>
  </si>
  <si>
    <t xml:space="preserve">Costo 
total </t>
  </si>
  <si>
    <t>TOTAL ($) MANO DE OBRA DIRECTA</t>
  </si>
  <si>
    <t>MANO DE OBRA INDIRECTA</t>
  </si>
  <si>
    <t xml:space="preserve">Cantidad Horas Normal </t>
  </si>
  <si>
    <t xml:space="preserve">Cantidad Horas 50% </t>
  </si>
  <si>
    <t xml:space="preserve">Cantidad Horas 100% </t>
  </si>
  <si>
    <t>Costo Horas 50%</t>
  </si>
  <si>
    <t>Costo Horas 100%</t>
  </si>
  <si>
    <t xml:space="preserve">Costo total </t>
  </si>
  <si>
    <t>TOTAL ($) MANO DE OBRA INDIRECTA</t>
  </si>
  <si>
    <t>MANO DE OBRA EVENTUAL</t>
  </si>
  <si>
    <t>TOTAL ($) MANO DE OBRA EVENTUAL</t>
  </si>
  <si>
    <t>TOTAL ($) MANO DE OBRA</t>
  </si>
  <si>
    <t>CANTIDAD DE HH NORMALES TOTALES</t>
  </si>
  <si>
    <t>CANTIDAD DE HOMBRE</t>
  </si>
  <si>
    <t>VIATICOS</t>
  </si>
  <si>
    <t>REFIRGERIOS</t>
  </si>
  <si>
    <t>Precio Unitario ($)</t>
  </si>
  <si>
    <t>Cantidad por item</t>
  </si>
  <si>
    <t>Total / Item ($)</t>
  </si>
  <si>
    <t>Comida en planta - ALMUERZO</t>
  </si>
  <si>
    <t>Comida en planta - REFRIGERIO</t>
  </si>
  <si>
    <t>Cena fuera de planta</t>
  </si>
  <si>
    <t>Propina</t>
  </si>
  <si>
    <t>TOTAL REFRIGERIOS ($)</t>
  </si>
  <si>
    <t>ALOJAMIENTO</t>
  </si>
  <si>
    <t>Hotel</t>
  </si>
  <si>
    <t>Telefono</t>
  </si>
  <si>
    <t>Lava ropa</t>
  </si>
  <si>
    <t>TOTAL ALOJAMIENTOS ($)</t>
  </si>
  <si>
    <t>TRASLADOS (VIAJES)</t>
  </si>
  <si>
    <t>Avion/bus/tren/metro/barco (Ida/Vuelta)</t>
  </si>
  <si>
    <t>Transporte del personal Operativo</t>
  </si>
  <si>
    <t>Taxis/Remis</t>
  </si>
  <si>
    <t>TOTAL  TRASLADOS ($)</t>
  </si>
  <si>
    <t>VEHICULO</t>
  </si>
  <si>
    <t>Precio ($)</t>
  </si>
  <si>
    <t>Alquiler de vehiculo</t>
  </si>
  <si>
    <t>Combustible</t>
  </si>
  <si>
    <t>Peajes</t>
  </si>
  <si>
    <t>TOTAL  VEHICULO ($)</t>
  </si>
  <si>
    <t>TOTAL  ($) VIATICOS</t>
  </si>
  <si>
    <t>APERTURA DE COSTOS</t>
  </si>
  <si>
    <t>MOA U.O.M. - CATEGORIAS GENERALES</t>
  </si>
  <si>
    <t>TP=25%</t>
  </si>
  <si>
    <t>Adicional acería=25%</t>
  </si>
  <si>
    <t>Calorias=10%</t>
  </si>
  <si>
    <t>Insalubre=3%</t>
  </si>
  <si>
    <t>vigencia</t>
  </si>
  <si>
    <t>VALOR DE CATEGORIA</t>
  </si>
  <si>
    <t>ESPECIALIDAD EN HORAS NORMALES</t>
  </si>
  <si>
    <t>1) MANO DE OBRA</t>
  </si>
  <si>
    <t>$/mes</t>
  </si>
  <si>
    <t>$/H</t>
  </si>
  <si>
    <t>Concepto</t>
  </si>
  <si>
    <t>VALOR - %</t>
  </si>
  <si>
    <t>Sueldo Bruto</t>
  </si>
  <si>
    <t>** Sueldo Básico (CATEGORIA)</t>
  </si>
  <si>
    <t>** vales alimentarios a remunerativos</t>
  </si>
  <si>
    <t>** Electromecanico</t>
  </si>
  <si>
    <t>** Antigüedad</t>
  </si>
  <si>
    <t>** Presentismo</t>
  </si>
  <si>
    <t>** Adicional Nocturnas</t>
  </si>
  <si>
    <t>** Adicional Polucion</t>
  </si>
  <si>
    <t>** Adicional Aceria</t>
  </si>
  <si>
    <t>NR MES</t>
  </si>
  <si>
    <t>** Previsión de rotacion he AL 100%+ fc</t>
  </si>
  <si>
    <t>** ADICIONAL ACINDAR 12% sobre todos los conceptos excepto oras extras</t>
  </si>
  <si>
    <t>Sub - Total</t>
  </si>
  <si>
    <t xml:space="preserve"> </t>
  </si>
  <si>
    <t>2) CARGAS SOCIALES DIRECTAS</t>
  </si>
  <si>
    <t>** Sistema Integrado de Jubilac. y Pensiones</t>
  </si>
  <si>
    <t xml:space="preserve">** Régimen Nacional de Asig. Familiares </t>
  </si>
  <si>
    <t>** Fondo Nacional de Empleo</t>
  </si>
  <si>
    <t>** Ley 19.032</t>
  </si>
  <si>
    <t>** Régimen Nacional de Obras Sociales</t>
  </si>
  <si>
    <t>** Fondo Solidario de Redistribución - ANNSSAL</t>
  </si>
  <si>
    <t>** Contribución tickets POR CUOTA SINDICAL</t>
  </si>
  <si>
    <t>3) CARGAS SOCIALES INDIRECTAS</t>
  </si>
  <si>
    <t>** Incidencia Sueldo Anual Complementario</t>
  </si>
  <si>
    <t>** Contribuciones s/S.A.C.</t>
  </si>
  <si>
    <t>** Ropa de trabajo (VALOR ANUAL/12)</t>
  </si>
  <si>
    <t>** Incidencia proporc. Vacaciones</t>
  </si>
  <si>
    <t>** Contribuciones s/Vacaciones</t>
  </si>
  <si>
    <t>** APORTE SINDICAL</t>
  </si>
  <si>
    <t>** Previsión Despido</t>
  </si>
  <si>
    <t>** Previsión Ausentismo</t>
  </si>
  <si>
    <t>** Subsidio Fallecimiento</t>
  </si>
  <si>
    <t>** Servicio Medico de Emergencias</t>
  </si>
  <si>
    <t>** Examenes de Ingreso y Homologación</t>
  </si>
  <si>
    <t>** Previsión No cobranza</t>
  </si>
  <si>
    <t>** Capacitación</t>
  </si>
  <si>
    <t>** Previsión Delegados</t>
  </si>
  <si>
    <t>** Previsión Atenciones al Personal</t>
  </si>
  <si>
    <t>**SEGURO DE VIDA UOM</t>
  </si>
  <si>
    <t>** Previsión Perdidas Logisticas de la MONO DE OBRA en Operación</t>
  </si>
  <si>
    <t>4) A.R.T. Y SEGURO DE VIDA OBLIGATORIO</t>
  </si>
  <si>
    <t>** Asignación fija ART</t>
  </si>
  <si>
    <t>** Asignación variable ART</t>
  </si>
  <si>
    <t>** Seguro de vida obligatorio</t>
  </si>
  <si>
    <t>5) GASTOS DE MOVILIDAD Y REFRIGERIO</t>
  </si>
  <si>
    <t>** Trasporte</t>
  </si>
  <si>
    <t>** Comida</t>
  </si>
  <si>
    <t xml:space="preserve">COSTO FINAL </t>
  </si>
  <si>
    <t>Base Horaria (HS/MES)</t>
  </si>
  <si>
    <t>ANALISIS DE SUELDOS DE BOLSILLO</t>
  </si>
  <si>
    <t>ESPECIALIDAD en HORAS NORMALES</t>
  </si>
  <si>
    <t>SUELDO NETO</t>
  </si>
  <si>
    <t>VALES ALIMENTARIOS (TICKETS)</t>
  </si>
  <si>
    <t>DECRETO NO REMUNERATIVO</t>
  </si>
  <si>
    <t>SUELDO DE BOLSILLO (LIQUIDO)</t>
  </si>
  <si>
    <t>COEFICIENTE DE COSTO (BOSILLO/COSTO)</t>
  </si>
  <si>
    <t>a) CATEGORIAS Generales, Art.6.</t>
  </si>
  <si>
    <t>NUEVO ACUERDO DE OCTUBRE 2009</t>
  </si>
  <si>
    <t xml:space="preserve">     Operario</t>
  </si>
  <si>
    <t xml:space="preserve">     Operario Calificado</t>
  </si>
  <si>
    <t xml:space="preserve">     Medio Oficial</t>
  </si>
  <si>
    <t xml:space="preserve">     Operario Especializado</t>
  </si>
  <si>
    <t xml:space="preserve">     Operario Espdo. Múltiple</t>
  </si>
  <si>
    <t xml:space="preserve">     Oficial</t>
  </si>
  <si>
    <t xml:space="preserve">     Oficial Múltiple</t>
  </si>
  <si>
    <t>Oficial Multiple Rotacion</t>
  </si>
  <si>
    <t>Categoria</t>
  </si>
  <si>
    <t>BASICO/Incremento</t>
  </si>
  <si>
    <t>DED.FUNCIONAL</t>
  </si>
  <si>
    <t>SUELDO BASICO TOTAL (FIJO + PRIMAS)</t>
  </si>
  <si>
    <t>Antigüedad</t>
  </si>
  <si>
    <t>SAC</t>
  </si>
  <si>
    <t>Vacaciones</t>
  </si>
  <si>
    <t>Bonif. Vacac.</t>
  </si>
  <si>
    <t>Sub- Total</t>
  </si>
  <si>
    <t>Cargas</t>
  </si>
  <si>
    <t>Diferencia Medicina Pre-paga</t>
  </si>
  <si>
    <t>Vales Alimentarios</t>
  </si>
  <si>
    <t>Vales Alimentarios SAC</t>
  </si>
  <si>
    <t xml:space="preserve">Cargas Vales Alimentarios </t>
  </si>
  <si>
    <t>Costo Emisión Ticket</t>
  </si>
  <si>
    <t>Seg. Oblig.</t>
  </si>
  <si>
    <t xml:space="preserve">Comedor </t>
  </si>
  <si>
    <t>Servicio Med.</t>
  </si>
  <si>
    <t>Ropa+Reposición</t>
  </si>
  <si>
    <t>Atención al personal</t>
  </si>
  <si>
    <t>Costos acreditación Bancaria</t>
  </si>
  <si>
    <t>ART  Fijo</t>
  </si>
  <si>
    <t>Exam. Preing.</t>
  </si>
  <si>
    <t>Homolog. Examen</t>
  </si>
  <si>
    <t>Aporte Sindical</t>
  </si>
  <si>
    <t>Previsión Recategorización</t>
  </si>
  <si>
    <t>Previsión Ausentismo</t>
  </si>
  <si>
    <t>Previsión Capacitación</t>
  </si>
  <si>
    <t>Provision Despido</t>
  </si>
  <si>
    <t>Decreto/Adicional</t>
  </si>
  <si>
    <t>TOTAL COSTO MES</t>
  </si>
  <si>
    <t>TOTAL COSTO HH</t>
  </si>
  <si>
    <t>SALARIO NETO ANTES DE IIGG</t>
  </si>
  <si>
    <t>VALES ALIMENTARIOS</t>
  </si>
  <si>
    <t>SALARIO VARIABLE</t>
  </si>
  <si>
    <t>SALARIO DE BOLSILLO (LIQUIDO)</t>
  </si>
  <si>
    <t>COEFICIENTE (COSTO/BOLSILLO)</t>
  </si>
  <si>
    <t>ADMINITRADOR DE CONTRATO</t>
  </si>
  <si>
    <t>JEFE DE S&amp;SO, MA y CALIDAD</t>
  </si>
  <si>
    <t>TECNICOS SEGURIDAD</t>
  </si>
  <si>
    <t>ADMINISTRATIVO</t>
  </si>
  <si>
    <t>PAÑOLERO</t>
  </si>
  <si>
    <t>CHOFER</t>
  </si>
  <si>
    <t>LIMPIEZA</t>
  </si>
  <si>
    <t>2 - SUMINISTRO DE MATERIALES</t>
  </si>
  <si>
    <t>TOTAL COSTO SUMINISTRO DE MATERIALES</t>
  </si>
  <si>
    <t>2.1 MATERIALES MECANICOS</t>
  </si>
  <si>
    <t>ITEM</t>
  </si>
  <si>
    <t xml:space="preserve">PRECIO UNITARIO </t>
  </si>
  <si>
    <t>U</t>
  </si>
  <si>
    <t>CANT.</t>
  </si>
  <si>
    <t>COSTO TOTAL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</si>
  <si>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</si>
  <si>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</si>
  <si>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</si>
  <si>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</si>
  <si>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</si>
  <si>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</si>
  <si>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</si>
  <si>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</si>
  <si>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</si>
  <si>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</si>
  <si>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SUBTOTAL MATERIALES MECÁNICOS</t>
  </si>
  <si>
    <t>2.2 MATERIALES ELÉCTRICOS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</si>
  <si>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</si>
  <si>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</si>
  <si>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</si>
  <si>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</si>
  <si>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</si>
  <si>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</si>
  <si>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</si>
  <si>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</si>
  <si>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</si>
  <si>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</si>
  <si>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SUBTOTAL MATERIALES ELECTRICOS</t>
  </si>
  <si>
    <t>2.3 MATERIALES AUTOMACION E INFORMATICOS</t>
  </si>
  <si>
    <t>CANTIDAD</t>
  </si>
  <si>
    <t>2.3.1</t>
  </si>
  <si>
    <t>2.3.2</t>
  </si>
  <si>
    <t>2.3.3</t>
  </si>
  <si>
    <t>SUBTOTAL MATERIALES AUTOMACION E INFORMATICOS</t>
  </si>
  <si>
    <t>2.4 MATERIALES DIVERSOS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</si>
  <si>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</si>
  <si>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</si>
  <si>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</si>
  <si>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</si>
  <si>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</si>
  <si>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</si>
  <si>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</si>
  <si>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</si>
  <si>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</si>
  <si>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SUBTOTAL  MATERIALES DIVERSOS</t>
  </si>
  <si>
    <t>3- SUMINISTRO DE INSUMOS CONSUMIBLES</t>
  </si>
  <si>
    <t>TOTAL COSTO de INSUMOS CONSUMIBLES</t>
  </si>
  <si>
    <t>3.1 INSUMOS CONSUMIBLES (INSUMOS DIRECTOS DE MANTENIMIENTO Y OPERACIÓN)</t>
  </si>
  <si>
    <t>3.1.1</t>
  </si>
  <si>
    <t>insumos</t>
  </si>
  <si>
    <t>COSTO POR HH DE INSUMOS GRALES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</si>
  <si>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</si>
  <si>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</si>
  <si>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</si>
  <si>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</si>
  <si>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</si>
  <si>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</si>
  <si>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</si>
  <si>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</si>
  <si>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</si>
  <si>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</si>
  <si>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</si>
  <si>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</si>
  <si>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</si>
  <si>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</si>
  <si>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</si>
  <si>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</si>
  <si>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</si>
  <si>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</si>
  <si>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</si>
  <si>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</si>
  <si>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</si>
  <si>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</si>
  <si>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</si>
  <si>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3.1.25</t>
  </si>
  <si>
    <t>3.1.26</t>
  </si>
  <si>
    <t>3.1.27</t>
  </si>
  <si>
    <t>3.1.28</t>
  </si>
  <si>
    <t>3.1.29</t>
  </si>
  <si>
    <t>SUBTOTAL INSUMOS CONSUMIBLES (INSUMOS DIRECTOS DE MANTENIMIENTO)</t>
  </si>
  <si>
    <t>3.2 COMBUSTIBLE, FILTROS Y LUBRICATES DE RODADOS Y MÁQUINAS</t>
  </si>
  <si>
    <t>CONSUMO DE COMBUSTIBLE</t>
  </si>
  <si>
    <t>HS/DIA</t>
  </si>
  <si>
    <t>LTS/HS</t>
  </si>
  <si>
    <t>DIAS</t>
  </si>
  <si>
    <t>CTD</t>
  </si>
  <si>
    <t>TOTAL LTS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</si>
  <si>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</si>
  <si>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</si>
  <si>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</si>
  <si>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</si>
  <si>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</si>
  <si>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</si>
  <si>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</si>
  <si>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</si>
  <si>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</si>
  <si>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</si>
  <si>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</si>
  <si>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SUBTOTAL COMBUSTIBLE, FILTROS Y LUBRICATES</t>
  </si>
  <si>
    <t>3.3 INSUMOS INFORMÁTICOS Y DE OFICINA</t>
  </si>
  <si>
    <t>3.3.1</t>
  </si>
  <si>
    <t>PAPELERIA</t>
  </si>
  <si>
    <t>3.3.2</t>
  </si>
  <si>
    <t>3.3.3</t>
  </si>
  <si>
    <t>SUBTOTAL INSUMOS INFORMÁTICOS Y DE OFICINA</t>
  </si>
  <si>
    <t>3.4 INSUMOS DE LIMPIEZA Y CAFETERÍA</t>
  </si>
  <si>
    <t>3.4.1</t>
  </si>
  <si>
    <t>AGUA</t>
  </si>
  <si>
    <t>3.4.2</t>
  </si>
  <si>
    <t>3.4.3</t>
  </si>
  <si>
    <t>SUBTOTAL  INSUMOS DE LIMPIEZA Y CAFETERÍA</t>
  </si>
  <si>
    <t>3.5 ELEMENTOS DE SEGURIDAD Y PROTECCIÓN PERSONAL</t>
  </si>
  <si>
    <t>3.5.1</t>
  </si>
  <si>
    <t>EPP (TAPONES AUDITIVOS, GUANTES COMUNES, LENTES, DELANTALES, ETC..)</t>
  </si>
  <si>
    <t>CANTIDAD DE PERSONAL</t>
  </si>
  <si>
    <t>3.5.2</t>
  </si>
  <si>
    <t>BOTAS DE GOMA</t>
  </si>
  <si>
    <t>3.5.3</t>
  </si>
  <si>
    <t>TRAJES TYVEK</t>
  </si>
  <si>
    <t>3.5.4</t>
  </si>
  <si>
    <t>GUANTES DE PVC O POLIPROPILENO</t>
  </si>
  <si>
    <t>3.5.5</t>
  </si>
  <si>
    <t>SEMIMARCARAS PARA GASES TOXICOS</t>
  </si>
  <si>
    <t>3.5.6</t>
  </si>
  <si>
    <t>MASCARAS COMPLETA 3M-6800</t>
  </si>
  <si>
    <t>3.5.7</t>
  </si>
  <si>
    <t>3.5.8</t>
  </si>
  <si>
    <t>3.5.9</t>
  </si>
  <si>
    <t>3.5.10</t>
  </si>
  <si>
    <t>3.5.11</t>
  </si>
  <si>
    <t>3.5.12</t>
  </si>
  <si>
    <t>3.5.13</t>
  </si>
  <si>
    <t>ROPA DE TRABJO + REPOSICIÓN ANUAL</t>
  </si>
  <si>
    <t>3.5.14</t>
  </si>
  <si>
    <t>3.5.15</t>
  </si>
  <si>
    <t>SUBTOTAL  ELEMENTOS DE SEGURIDAD Y PROTECCIÓN PERSONAL</t>
  </si>
  <si>
    <t xml:space="preserve">3.6 INSUMOS DIVERSOS </t>
  </si>
  <si>
    <t>3.6.1</t>
  </si>
  <si>
    <t>3.6.2</t>
  </si>
  <si>
    <t>3.6.3</t>
  </si>
  <si>
    <t>3.6.4</t>
  </si>
  <si>
    <t>3.6.5</t>
  </si>
  <si>
    <t>SUBTOTAL  INSUMOS DIVERSOS</t>
  </si>
  <si>
    <t>4 - SUBCONTRATACIONES</t>
  </si>
  <si>
    <t>TOTAL COSTO DE SUBCONTRATACIONES</t>
  </si>
  <si>
    <t>4.1 HONORARIOS PROFESIONALES</t>
  </si>
  <si>
    <t>4.1.1</t>
  </si>
  <si>
    <t>4.1.2</t>
  </si>
  <si>
    <t>Field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</si>
  <si>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</si>
  <si>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</si>
  <si>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</si>
  <si>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</si>
  <si>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</si>
  <si>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</si>
  <si>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</si>
  <si>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</si>
  <si>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</si>
  <si>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</si>
  <si>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</si>
  <si>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</si>
  <si>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</si>
  <si>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</si>
  <si>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SUBTOTAL HONORARIOS PROFESIONALES</t>
  </si>
  <si>
    <t>4.2 SERVICIOS TECNICOS ESPECIALIZADOS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</si>
  <si>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</si>
  <si>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</si>
  <si>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</si>
  <si>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</si>
  <si>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</si>
  <si>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</si>
  <si>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</si>
  <si>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</si>
  <si>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</si>
  <si>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</si>
  <si>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</si>
  <si>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</si>
  <si>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</si>
  <si>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</si>
  <si>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</si>
  <si>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</si>
  <si>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SUBTOTAL SERVICIOS TECNICOS ESPECIALIZADOS</t>
  </si>
  <si>
    <t>4.3 TRANSPORTES, FLESTES, CARGAS Y DESCARGAS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</si>
  <si>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</si>
  <si>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</si>
  <si>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</si>
  <si>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</si>
  <si>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</si>
  <si>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</si>
  <si>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</si>
  <si>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</si>
  <si>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</si>
  <si>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</si>
  <si>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</si>
  <si>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</si>
  <si>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</si>
  <si>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</si>
  <si>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4.3.15</t>
  </si>
  <si>
    <t>4.3.16</t>
  </si>
  <si>
    <t>SUBTOTAL TRASNPORTE Y FLETES</t>
  </si>
  <si>
    <t>4.4 TRABAJOS EJECUTADOS POR TERCEROS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</si>
  <si>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</si>
  <si>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</si>
  <si>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</si>
  <si>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</si>
  <si>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</si>
  <si>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</si>
  <si>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</si>
  <si>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</si>
  <si>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</si>
  <si>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</si>
  <si>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</si>
  <si>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</si>
  <si>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4.4.13</t>
  </si>
  <si>
    <t>4.4.14</t>
  </si>
  <si>
    <t>4.4.15</t>
  </si>
  <si>
    <t>4.4.16</t>
  </si>
  <si>
    <t>SUBTOTAL TRABAJOS EJECUTADOS POR TERCEROS</t>
  </si>
  <si>
    <t>4.5 SERVICIOS VARIOS / OTROS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</si>
  <si>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</si>
  <si>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</si>
  <si>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</si>
  <si>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</si>
  <si>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</si>
  <si>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</si>
  <si>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</si>
  <si>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</si>
  <si>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</si>
  <si>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</si>
  <si>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</si>
  <si>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4.5.12</t>
  </si>
  <si>
    <t>4.5.13</t>
  </si>
  <si>
    <t>4.5.14</t>
  </si>
  <si>
    <t>4.5.15</t>
  </si>
  <si>
    <t>4.5.16</t>
  </si>
  <si>
    <t>SUBTOTAL SERVICIOS VARIOS</t>
  </si>
  <si>
    <t>ADICIONAL MTO. CORRECTIVO PROGRAMADO MAYOR CON PEGAMENTOS</t>
  </si>
  <si>
    <t>Ho</t>
  </si>
  <si>
    <t>Hs</t>
  </si>
  <si>
    <t>turnos</t>
  </si>
  <si>
    <t>dias</t>
  </si>
  <si>
    <t>veces</t>
  </si>
  <si>
    <t>$/HH</t>
  </si>
  <si>
    <t>Coef.</t>
  </si>
  <si>
    <t>=</t>
  </si>
  <si>
    <t>Materiales</t>
  </si>
  <si>
    <t>5- MONTO DE INVERSIÓN Y CÁLCULO DE AMORTIZACIÓN MENSUAL</t>
  </si>
  <si>
    <t xml:space="preserve">CLIENTE: </t>
  </si>
  <si>
    <t xml:space="preserve">OBRA : </t>
  </si>
  <si>
    <t>Jefe de Proyecto:</t>
  </si>
  <si>
    <t>TOTAL MENSUAL AMORTIZABLE</t>
  </si>
  <si>
    <t>Descripción</t>
  </si>
  <si>
    <t>Costo Unit.</t>
  </si>
  <si>
    <t>Cant.</t>
  </si>
  <si>
    <t>Inversión</t>
  </si>
  <si>
    <t>Plazo de amortización (en años)</t>
  </si>
  <si>
    <t>Valor Residual</t>
  </si>
  <si>
    <t>Costo Financiero</t>
  </si>
  <si>
    <t>AMORTIZACIÓN MENSUAL</t>
  </si>
  <si>
    <t>5.1</t>
  </si>
  <si>
    <t>RODADOS Y EQUIPOS MOVILES ESPECIALES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</si>
  <si>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</si>
  <si>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</si>
  <si>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</si>
  <si>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</si>
  <si>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</si>
  <si>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</si>
  <si>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</si>
  <si>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</si>
  <si>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</si>
  <si>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</si>
  <si>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</si>
  <si>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</si>
  <si>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5.2</t>
  </si>
  <si>
    <t>MUEBLES Y ÚTILES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</si>
  <si>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</si>
  <si>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</si>
  <si>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</si>
  <si>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</si>
  <si>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</si>
  <si>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</si>
  <si>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</si>
  <si>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</si>
  <si>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</si>
  <si>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</si>
  <si>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</si>
  <si>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</si>
  <si>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5.3</t>
  </si>
  <si>
    <t>INSTALACIÓNES Y ADECUACIÓN DE LOCALES</t>
  </si>
  <si>
    <t>5.3.1</t>
  </si>
  <si>
    <t>VESTUARIO Y DUCHA</t>
  </si>
  <si>
    <t>5.3.2</t>
  </si>
  <si>
    <t>INSTALACION DEL CONTENEDOR ANTERIOR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</si>
  <si>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</si>
  <si>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</si>
  <si>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</si>
  <si>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</si>
  <si>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</si>
  <si>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</si>
  <si>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</si>
  <si>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</si>
  <si>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</si>
  <si>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</si>
  <si>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5.4</t>
  </si>
  <si>
    <t>MEDIOS INFORMÁTICOS Y MEDIOS DE COMUNICACIÓN</t>
  </si>
  <si>
    <t>5.4.1</t>
  </si>
  <si>
    <t>5.4.2</t>
  </si>
  <si>
    <t>CELULARES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</si>
  <si>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</si>
  <si>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</si>
  <si>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</si>
  <si>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</si>
  <si>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</si>
  <si>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</si>
  <si>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</si>
  <si>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</si>
  <si>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</si>
  <si>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</si>
  <si>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5.5</t>
  </si>
  <si>
    <t>MÁQUINAS Y HERRAMIENTAS</t>
  </si>
  <si>
    <t>5.5.1</t>
  </si>
  <si>
    <t>CAJAS DE HTAS DE MANO</t>
  </si>
  <si>
    <t>5.5.2</t>
  </si>
  <si>
    <t>Equipos Menores</t>
  </si>
  <si>
    <t>5.5.3</t>
  </si>
  <si>
    <t>5.5.4</t>
  </si>
  <si>
    <t>5.5.5</t>
  </si>
  <si>
    <t>5.5.6</t>
  </si>
  <si>
    <t>5.5.7</t>
  </si>
  <si>
    <t>5.5.8</t>
  </si>
  <si>
    <t>5.5.9</t>
  </si>
  <si>
    <t>5.5.10</t>
  </si>
  <si>
    <t>5.5.11</t>
  </si>
  <si>
    <t>5.5.12</t>
  </si>
  <si>
    <t>5.6</t>
  </si>
  <si>
    <t>GASTOS DE ORGANIZACIÓN E IMPLEMENTACIÓN</t>
  </si>
  <si>
    <t>5.6.1</t>
  </si>
  <si>
    <t>5.6.2</t>
  </si>
  <si>
    <t>5.6.3</t>
  </si>
  <si>
    <t>5.6.4</t>
  </si>
  <si>
    <t>5.6.5</t>
  </si>
  <si>
    <t>5.6.6</t>
  </si>
  <si>
    <t>5.6.7</t>
  </si>
  <si>
    <t>5.6.8</t>
  </si>
  <si>
    <t>5.6.9</t>
  </si>
  <si>
    <t>5.6.10</t>
  </si>
  <si>
    <t>5.6.11</t>
  </si>
  <si>
    <t>5.6.12</t>
  </si>
  <si>
    <t>TOTAL INVERSIÓN</t>
  </si>
  <si>
    <t>RECUPERACIÓN DE INVERSIÓN POR AMORTIZACIÓN</t>
  </si>
  <si>
    <t>K para inversiones B.Uso</t>
  </si>
  <si>
    <t>SALDO A RECUPERAR POR VALOR RESIDUAL</t>
  </si>
  <si>
    <t>CANTIDA</t>
  </si>
  <si>
    <t>PU</t>
  </si>
  <si>
    <t>$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</si>
  <si>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Equipo de soldadura portátil para trabajos menores.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</si>
  <si>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Agujereadoras de mano hasta 16 mm con sus mechas.</t>
    </r>
  </si>
  <si>
    <t>Equipo de soldadura portátil para trabajos menores.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</si>
  <si>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Agujereadora de banco con sus mandriles h/19mm.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</si>
  <si>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Amoladoras de mano, eléctricas de 4” y 7</t>
    </r>
    <r>
      <rPr>
        <sz val="11"/>
        <color indexed="10"/>
        <rFont val="Arial"/>
        <family val="2"/>
      </rPr>
      <t>”.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</si>
  <si>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Llaves combinadas de 6 hasta 24mm.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</si>
  <si>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Prolongaciones</t>
    </r>
  </si>
  <si>
    <t>Agujereadoras de mano hasta 16 mm con sus mechas.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</si>
  <si>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Atornilladora eléctrica.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</si>
  <si>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Dobladoras de caños.</t>
    </r>
  </si>
  <si>
    <t>Agujereadora de banco con sus mandriles h/19mm.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</si>
  <si>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Dobladora hidraulica hasta 2”</t>
    </r>
  </si>
  <si>
    <t>Amoladoras de mano eléctricas o neumáticas de 4# y 7#.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</si>
  <si>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Roscadoras para caños hasta 2” eléctrica.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</si>
  <si>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Morsa para caños hasta 4”.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</si>
  <si>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Morsa de banco NRO 6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</si>
  <si>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Bancos de trabajo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</si>
  <si>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Meghómetros marca FLUKE.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</si>
  <si>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Tester digital</t>
    </r>
    <r>
      <rPr>
        <sz val="11"/>
        <rFont val="Calibri"/>
        <family val="2"/>
      </rPr>
      <t xml:space="preserve"> </t>
    </r>
    <r>
      <rPr>
        <sz val="11"/>
        <rFont val="Arial"/>
        <family val="2"/>
      </rPr>
      <t>marca FLUKE 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</si>
  <si>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Aspiradora para tableros eléctricos.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</si>
  <si>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Pinza para identar terminales eléctricos.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</si>
  <si>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Pinza amperométrica</t>
    </r>
    <r>
      <rPr>
        <sz val="11"/>
        <rFont val="Calibri"/>
        <family val="2"/>
      </rPr>
      <t xml:space="preserve"> </t>
    </r>
    <r>
      <rPr>
        <sz val="11"/>
        <rFont val="Arial"/>
        <family val="2"/>
      </rPr>
      <t>marca FLUKE 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</si>
  <si>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Dispositivos para el tendido de cables.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</si>
  <si>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Sogas. Varias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</si>
  <si>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Extinguidores. Cap.10 kg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</si>
  <si>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Lonas impermeables.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</si>
  <si>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Escaleras grandes y chicas extensibles de aluminio.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</si>
  <si>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Machos milimétricos.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</si>
  <si>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Machos NPT y BSPT,un juego de c/uno hasta 2”</t>
    </r>
  </si>
  <si>
    <t>Llaves combinadas de 6 hasta 38mm. Cantidad mínima 12 juegos.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</si>
  <si>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Caladora eléctrica para chapa.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</si>
  <si>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Tableros con disyuntores diferenciales, tipo T1-T2 completos.</t>
    </r>
  </si>
  <si>
    <t>Prolongaciones.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</si>
  <si>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Pinza corta cables.</t>
    </r>
  </si>
  <si>
    <t>Atornilladora eléctrica.</t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</si>
  <si>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Rotopercutor tipo HILTI T 76.</t>
    </r>
  </si>
  <si>
    <r>
      <t>Å</t>
    </r>
    <r>
      <rPr>
        <sz val="7"/>
        <color indexed="17"/>
        <rFont val="Times New Roman"/>
        <family val="1"/>
      </rPr>
      <t xml:space="preserve">       </t>
    </r>
    <r>
      <rPr>
        <sz val="11"/>
        <rFont val="Arial"/>
        <family val="2"/>
      </rPr>
      <t>Otros-escuadras-adaptadores-balizas-cinta-mechas varias-niveles-pistolas-puntas-remachadoras-roldanas-mazas-llaves allen-tijeras-pinzas-alicates-francesas.</t>
    </r>
  </si>
  <si>
    <r>
      <t>1.1.</t>
    </r>
    <r>
      <rPr>
        <b/>
        <sz val="7"/>
        <color indexed="58"/>
        <rFont val="Times New Roman"/>
        <family val="1"/>
      </rPr>
      <t xml:space="preserve">       </t>
    </r>
    <r>
      <rPr>
        <b/>
        <sz val="12"/>
        <color indexed="58"/>
        <rFont val="Arial"/>
        <family val="2"/>
      </rPr>
      <t>Herramientas Generales Específicas de Redes:</t>
    </r>
  </si>
  <si>
    <t>Se dispondrán de los siguientes equipos para la prestación del servicio:</t>
  </si>
  <si>
    <t>Dobladoras de caños (Farval).</t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</si>
  <si>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Arial"/>
        <family val="2"/>
      </rPr>
      <t>Fusionadora de Fibra Óptica Jilong KL-300T, o similar (cantidad DOS).</t>
    </r>
  </si>
  <si>
    <t>Dobladoras hidráulicas ENERPAC hasta 2#.</t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</si>
  <si>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Arial"/>
        <family val="2"/>
      </rPr>
      <t>Kit de herramientas (Peladora CFS-2, Tijera KS1, Abridora MK-02, Cort. de tubo buffer), cantidad DOS.</t>
    </r>
  </si>
  <si>
    <t>Roscadoras para caños hasta 4.</t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</si>
  <si>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Arial"/>
        <family val="2"/>
      </rPr>
      <t>Visual Fault Locator-VLS6A (cantidad DOS).</t>
    </r>
  </si>
  <si>
    <t>Morsa para caños hasta 4.</t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</si>
  <si>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Arial"/>
        <family val="2"/>
      </rPr>
      <t>Palm OTDR Shinewaytech, modelo M20A/E, o similar (cantidad DOS).</t>
    </r>
  </si>
  <si>
    <t>Morsa de banco NRO 6.</t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</si>
  <si>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Arial"/>
        <family val="2"/>
      </rPr>
      <t>Certificador de Redes marca Certifier 40G, modelo NGC-4500 (cantidad UNO).</t>
    </r>
  </si>
  <si>
    <t>Bancos de trabajo con mesa de ajuste Nro.3 (mínimo 2 bancos).</t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</si>
  <si>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Arial"/>
        <family val="2"/>
      </rPr>
      <t xml:space="preserve">Tester de red Fluke Micromapper MT8200-49A o similar (cantidad 6). </t>
    </r>
  </si>
  <si>
    <t>Meghómetros.</t>
  </si>
  <si>
    <t>Tester digital.</t>
  </si>
  <si>
    <t>Aspiradora para tableros eléctricos.</t>
  </si>
  <si>
    <t>Pinza para indentar terminales eléctricos hasta 240 mmm2 hidráulica.</t>
  </si>
  <si>
    <t>Pinza amperométrica.</t>
  </si>
  <si>
    <t>Dispositivos para el tendido de cables.</t>
  </si>
  <si>
    <t>Extinguidores capacidad de 10 Kg. Los mismos deberán estar identificados con el nombre de la empresa a la cual pertenecen.</t>
  </si>
  <si>
    <t>Caladora eléctrica para chapa.</t>
  </si>
  <si>
    <t>Tableros con disyuntores diferenciales tipo T1-T2 completos.</t>
  </si>
  <si>
    <t>Transformadores para bajo voltaje (tensión primaria 220V  380V, secundaria 24V) y portátiles con lámparas de bajo voltaje (menos de 24 voltios).</t>
  </si>
  <si>
    <t>Turbinetas manuales.</t>
  </si>
  <si>
    <t>Pinza corta cables hasta 120mm.</t>
  </si>
  <si>
    <t>Rotopercutor tipo HILTI T 76.</t>
  </si>
  <si>
    <t>Salvacaída T5.</t>
  </si>
  <si>
    <t>Otros, escuadras, adaptadores, balizas, cinta, mechas varias, niveles, pistolas, puntas, remachadoras, roldadas, mazas, llaves Allen (mínimo 3 juegos), tijeras, pinzas, alicates, francesas.</t>
  </si>
  <si>
    <t>o   Fusionadora de Fibra Óptica Jilong KL-300T, o similar (cantidad DOS).</t>
  </si>
  <si>
    <t>o   Kit de herramientas (Peladora CFS-2, Tijera KS1, Abridora MK-02, Cort. de tubo buffer), cantidad DOS.</t>
  </si>
  <si>
    <t>o   Visual Fault Locator-VLS6A (cantidad DOS).</t>
  </si>
  <si>
    <t>o   Palm OTDR Shinewaytech, modelo M20A/E, o similar (cantidad DOS).</t>
  </si>
  <si>
    <t>o   Certificador de Redes marca Certifier 40G, modelo NGC-4500 (cantidad UNO).</t>
  </si>
  <si>
    <t xml:space="preserve">o   Tester de red Fluke Micromapper MT8200-49A o similar (cantidad 6). </t>
  </si>
  <si>
    <t>Nº LICITACIÓN: SIN</t>
  </si>
  <si>
    <t>ADICIONAL UOCRA</t>
  </si>
  <si>
    <t>** Adicional ELECTRICIDAD</t>
  </si>
  <si>
    <t>OFICIAL ESPACIALIZADO</t>
  </si>
  <si>
    <t>OFICIAL</t>
  </si>
  <si>
    <t>MEDIO OFICIAL</t>
  </si>
  <si>
    <t>AYUDANTE</t>
  </si>
  <si>
    <t>COMPUTADORAS</t>
  </si>
  <si>
    <t>alaskan</t>
  </si>
  <si>
    <t>partner</t>
  </si>
  <si>
    <t>contenedor (SOLO TRALSADO)</t>
  </si>
  <si>
    <t>MICROSOFT 365</t>
  </si>
  <si>
    <t>SUPERVISOR</t>
  </si>
  <si>
    <t>** ADICIONAL ALTURA (10%)</t>
  </si>
  <si>
    <t>APOYO SINDOICATO</t>
  </si>
  <si>
    <t>PAMPA SERVICIOS MENORES CIVILES</t>
  </si>
  <si>
    <t>PAMPA</t>
  </si>
  <si>
    <t>PRE-ARG-1340</t>
  </si>
  <si>
    <t>SERVICIO PAMPA</t>
  </si>
  <si>
    <t>2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</si>
</sst>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\ _€_-;\-* #,##0.00\ _€_-;_-* &quot;-&quot;??\ _€_-;_-@_-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 [$$-2C0A]\ * #,##0_ ;_ [$$-2C0A]\ * \-#,##0_ ;_ [$$-2C0A]\ * &quot;-&quot;_ ;_ @_ "/>
    <numFmt numFmtId="172" formatCode="_ [$$-2C0A]\ * #,##0.00_ ;_ [$$-2C0A]\ * \-#,##0.00_ ;_ [$$-2C0A]\ * &quot;-&quot;??_ ;_ @_ "/>
    <numFmt numFmtId="173" formatCode="_ [$$-2C0A]\ * #,##0.00_ ;_ [$$-2C0A]\ * \-#,##0.00_ ;_ [$$-2C0A]\ * &quot;-&quot;_ ;_ @_ "/>
    <numFmt numFmtId="174" formatCode="_(&quot;$&quot;* #,##0.00_);_(&quot;$&quot;* \(#,##0.00\);_(&quot;$&quot;* &quot;-&quot;_);_(@_)"/>
    <numFmt numFmtId="175" formatCode="#,##0.00_ ;\-#,##0.00\ "/>
    <numFmt numFmtId="176" formatCode="0.000"/>
    <numFmt numFmtId="177" formatCode="0.0%"/>
    <numFmt numFmtId="178" formatCode="0.000%"/>
    <numFmt numFmtId="179" formatCode="_-[$€-2]* #,##0.00_-;\-[$€-2]* #,##0.00_-;_-[$€-2]* &quot;-&quot;??_-"/>
    <numFmt numFmtId="180" formatCode="_-* #,##0\ _P_t_s_-;\-* #,##0\ _P_t_s_-;_-* &quot;-&quot;??\ _P_t_s_-;_-@_-"/>
    <numFmt numFmtId="181" formatCode="[$USS]\ #,##0.00"/>
    <numFmt numFmtId="182" formatCode="_(* #,##0_);_(* \(#,##0\);_(* &quot;-&quot;??_);_(@_)"/>
    <numFmt numFmtId="183" formatCode="#,##0.000"/>
    <numFmt numFmtId="184" formatCode="_(&quot;$&quot;\ * #,##0.00_);_(&quot;$&quot;\ * \(#,##0.00\);_(&quot;$&quot;\ * &quot;-&quot;??_);_(@_)"/>
    <numFmt numFmtId="185" formatCode="dd/mm/yyyy;@"/>
    <numFmt numFmtId="186" formatCode="[$$-2C0A]\ #,##0.00"/>
    <numFmt numFmtId="187" formatCode="#,##0.0"/>
    <numFmt numFmtId="188" formatCode="0.0"/>
    <numFmt numFmtId="189" formatCode="#,##0_ ;\-#,##0\ "/>
    <numFmt numFmtId="190" formatCode="_-[$USD]\ * #,##0.00_-;\-[$USD]\ * #,##0.00_-;_-[$USD]\ * &quot;-&quot;??_-;_-@_-"/>
    <numFmt numFmtId="191" formatCode="_-&quot;$&quot;* #,##0.0000_-;\-&quot;$&quot;* #,##0.0000_-;_-&quot;$&quot;* &quot;-&quot;??_-;_-@_-"/>
    <numFmt numFmtId="192" formatCode="_-&quot;$&quot;\ * #,##0.0000_-;\-&quot;$&quot;\ * #,##0.0000_-;_-&quot;$&quot;\ * &quot;-&quot;??_-;_-@_-"/>
    <numFmt numFmtId="193" formatCode="_(&quot;$&quot;* #,##0.0000_);_(&quot;$&quot;* \(#,##0.0000\);_(&quot;$&quot;* &quot;-&quot;??_);_(@_)"/>
    <numFmt numFmtId="194" formatCode="_ &quot;$&quot;\ * #,##0.0000_ ;_ &quot;$&quot;\ * \-#,##0.0000_ ;_ &quot;$&quot;\ * &quot;-&quot;??_ ;_ @_ "/>
    <numFmt numFmtId="195" formatCode="_-[$$-2C0A]\ * #,##0.00_-;\-[$$-2C0A]\ * #,##0.00_-;_-[$$-2C0A]\ * &quot;-&quot;??_-;_-@_-"/>
  </numFmts>
  <fonts count="99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sz val="12"/>
      <color indexed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u/>
      <sz val="10"/>
      <name val="Arial"/>
      <family val="2"/>
    </font>
    <font>
      <b/>
      <u val="singleAccounting"/>
      <sz val="12"/>
      <name val="Arial"/>
      <family val="2"/>
    </font>
    <font>
      <b/>
      <sz val="14"/>
      <color indexed="10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name val="Courier"/>
      <family val="3"/>
    </font>
    <font>
      <sz val="12"/>
      <name val="Arial"/>
      <family val="2"/>
    </font>
    <font>
      <b/>
      <u val="singleAccounting"/>
      <sz val="16"/>
      <color indexed="10"/>
      <name val="Arial"/>
      <family val="2"/>
    </font>
    <font>
      <b/>
      <sz val="18"/>
      <color indexed="10"/>
      <name val="Arial"/>
      <family val="2"/>
    </font>
    <font>
      <b/>
      <u/>
      <sz val="16"/>
      <color indexed="8"/>
      <name val="Arial"/>
      <family val="2"/>
    </font>
    <font>
      <b/>
      <sz val="10"/>
      <name val="Times New Roman"/>
      <family val="1"/>
    </font>
    <font>
      <b/>
      <sz val="14"/>
      <color indexed="8"/>
      <name val="Arial"/>
      <family val="2"/>
    </font>
    <font>
      <b/>
      <u val="singleAccounting"/>
      <sz val="14"/>
      <color indexed="8"/>
      <name val="Arial"/>
      <family val="2"/>
    </font>
    <font>
      <b/>
      <u val="singleAccounting"/>
      <sz val="16"/>
      <color indexed="8"/>
      <name val="Arial"/>
      <family val="2"/>
    </font>
    <font>
      <b/>
      <u/>
      <sz val="12"/>
      <name val="Arial"/>
      <family val="2"/>
    </font>
    <font>
      <b/>
      <u/>
      <sz val="12"/>
      <color indexed="8"/>
      <name val="Arial"/>
      <family val="2"/>
    </font>
    <font>
      <b/>
      <u val="singleAccounting"/>
      <sz val="14"/>
      <name val="Arial"/>
      <family val="2"/>
    </font>
    <font>
      <b/>
      <sz val="20"/>
      <name val="Arial"/>
      <family val="2"/>
    </font>
    <font>
      <b/>
      <u val="singleAccounting"/>
      <sz val="16"/>
      <name val="Arial"/>
      <family val="2"/>
    </font>
    <font>
      <b/>
      <u/>
      <sz val="14"/>
      <name val="Arial"/>
      <family val="2"/>
    </font>
    <font>
      <b/>
      <sz val="26"/>
      <name val="Arial"/>
      <family val="2"/>
    </font>
    <font>
      <b/>
      <sz val="12"/>
      <color indexed="21"/>
      <name val="Arial"/>
      <family val="2"/>
    </font>
    <font>
      <b/>
      <sz val="9"/>
      <color indexed="21"/>
      <name val="Arial"/>
      <family val="2"/>
    </font>
    <font>
      <b/>
      <sz val="10"/>
      <color indexed="21"/>
      <name val="Arial"/>
      <family val="2"/>
    </font>
    <font>
      <b/>
      <sz val="20"/>
      <color indexed="21"/>
      <name val="Arial"/>
      <family val="2"/>
    </font>
    <font>
      <i/>
      <sz val="12"/>
      <color indexed="21"/>
      <name val="Arial"/>
      <family val="2"/>
    </font>
    <font>
      <b/>
      <sz val="12"/>
      <color indexed="21"/>
      <name val="Arial Black"/>
      <family val="2"/>
    </font>
    <font>
      <b/>
      <sz val="8"/>
      <color indexed="81"/>
      <name val="Tahoma"/>
      <family val="2"/>
    </font>
    <font>
      <b/>
      <u/>
      <sz val="18"/>
      <name val="Arial"/>
      <family val="2"/>
    </font>
    <font>
      <b/>
      <i/>
      <u/>
      <sz val="14"/>
      <name val="Arial"/>
      <family val="2"/>
    </font>
    <font>
      <b/>
      <i/>
      <u/>
      <sz val="12"/>
      <name val="Arial"/>
      <family val="2"/>
    </font>
    <font>
      <b/>
      <u/>
      <sz val="8"/>
      <name val="Arial"/>
      <family val="2"/>
    </font>
    <font>
      <sz val="12"/>
      <color indexed="12"/>
      <name val="Arial"/>
      <family val="2"/>
    </font>
    <font>
      <b/>
      <u val="singleAccounting"/>
      <sz val="16"/>
      <color indexed="12"/>
      <name val="Arial"/>
      <family val="2"/>
    </font>
    <font>
      <u val="singleAccounting"/>
      <sz val="16"/>
      <color indexed="12"/>
      <name val="Arial"/>
      <family val="2"/>
    </font>
    <font>
      <b/>
      <i/>
      <sz val="12"/>
      <name val="Arial"/>
      <family val="2"/>
    </font>
    <font>
      <b/>
      <sz val="16"/>
      <color indexed="12"/>
      <name val="Arial"/>
      <family val="2"/>
    </font>
    <font>
      <sz val="16"/>
      <name val="Arial"/>
      <family val="2"/>
    </font>
    <font>
      <b/>
      <u/>
      <sz val="26"/>
      <name val="Arial"/>
      <family val="2"/>
    </font>
    <font>
      <b/>
      <sz val="14"/>
      <color indexed="12"/>
      <name val="Arial"/>
      <family val="2"/>
    </font>
    <font>
      <b/>
      <u/>
      <sz val="14"/>
      <color indexed="12"/>
      <name val="Arial"/>
      <family val="2"/>
    </font>
    <font>
      <b/>
      <sz val="10"/>
      <color indexed="81"/>
      <name val="Tahoma"/>
      <family val="2"/>
    </font>
    <font>
      <i/>
      <sz val="12"/>
      <color indexed="8"/>
      <name val="Arial"/>
      <family val="2"/>
    </font>
    <font>
      <b/>
      <i/>
      <sz val="14"/>
      <color indexed="8"/>
      <name val="Arial"/>
      <family val="2"/>
    </font>
    <font>
      <sz val="10"/>
      <color indexed="21"/>
      <name val="Arial"/>
      <family val="2"/>
    </font>
    <font>
      <b/>
      <u val="singleAccounting"/>
      <sz val="14"/>
      <color indexed="12"/>
      <name val="Arial"/>
      <family val="2"/>
    </font>
    <font>
      <b/>
      <sz val="18"/>
      <color indexed="17"/>
      <name val="Arial"/>
      <family val="2"/>
    </font>
    <font>
      <u/>
      <sz val="14"/>
      <color indexed="8"/>
      <name val="Arial"/>
      <family val="2"/>
    </font>
    <font>
      <b/>
      <sz val="16"/>
      <color indexed="10"/>
      <name val="Arial"/>
      <family val="2"/>
    </font>
    <font>
      <b/>
      <u/>
      <sz val="16"/>
      <color indexed="10"/>
      <name val="Arial"/>
      <family val="2"/>
    </font>
    <font>
      <b/>
      <sz val="12"/>
      <name val="Times New Roman"/>
      <family val="1"/>
    </font>
    <font>
      <b/>
      <sz val="12"/>
      <color indexed="18"/>
      <name val="Times New Roman"/>
      <family val="1"/>
    </font>
    <font>
      <b/>
      <u val="singleAccounting"/>
      <sz val="10"/>
      <name val="Arial"/>
      <family val="2"/>
    </font>
    <font>
      <sz val="14"/>
      <color indexed="12"/>
      <name val="Arial"/>
      <family val="2"/>
    </font>
    <font>
      <sz val="14"/>
      <color indexed="8"/>
      <name val="Arial"/>
      <family val="2"/>
    </font>
    <font>
      <b/>
      <u val="singleAccounting"/>
      <sz val="12"/>
      <color indexed="8"/>
      <name val="Arial"/>
      <family val="2"/>
    </font>
    <font>
      <b/>
      <u val="singleAccounting"/>
      <sz val="18"/>
      <color indexed="17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7"/>
      <color indexed="17"/>
      <name val="Times New Roman"/>
      <family val="1"/>
    </font>
    <font>
      <sz val="11"/>
      <name val="Arial"/>
      <family val="2"/>
    </font>
    <font>
      <sz val="11"/>
      <color indexed="10"/>
      <name val="Arial"/>
      <family val="2"/>
    </font>
    <font>
      <sz val="10"/>
      <name val="Times New Roman"/>
      <family val="1"/>
    </font>
    <font>
      <b/>
      <sz val="12"/>
      <color indexed="58"/>
      <name val="Arial"/>
      <family val="2"/>
    </font>
    <font>
      <b/>
      <sz val="7"/>
      <color indexed="58"/>
      <name val="Times New Roman"/>
      <family val="1"/>
    </font>
    <font>
      <sz val="11"/>
      <name val="Courier New"/>
      <family val="3"/>
    </font>
    <font>
      <sz val="7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FF0000"/>
      <name val="Arial"/>
      <family val="2"/>
    </font>
    <font>
      <sz val="10"/>
      <color theme="0"/>
      <name val="Arial"/>
      <family val="2"/>
    </font>
    <font>
      <sz val="10"/>
      <color rgb="FF008000"/>
      <name val="Symbol"/>
      <family val="1"/>
      <charset val="2"/>
    </font>
    <font>
      <b/>
      <sz val="12"/>
      <color rgb="FF003300"/>
      <name val="Arial"/>
      <family val="2"/>
    </font>
    <font>
      <sz val="11"/>
      <color rgb="FF1F497D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gray0625">
        <f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13"/>
      </patternFill>
    </fill>
    <fill>
      <patternFill patternType="gray0625">
        <fgColor indexed="13"/>
        <bgColor indexed="13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gray0625">
        <fgColor indexed="13"/>
        <bgColor indexed="11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165" fontId="82" fillId="0" borderId="0" applyFont="0" applyFill="0" applyBorder="0" applyAlignment="0" applyProtection="0"/>
    <xf numFmtId="17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81" fillId="0" borderId="0" applyFont="0" applyFill="0" applyBorder="0" applyAlignment="0" applyProtection="0"/>
    <xf numFmtId="170" fontId="92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5" fillId="0" borderId="0" applyFont="0" applyFill="0" applyBorder="0" applyAlignment="0" applyProtection="0"/>
    <xf numFmtId="169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28" fillId="0" borderId="0"/>
    <xf numFmtId="0" fontId="92" fillId="0" borderId="0"/>
    <xf numFmtId="0" fontId="93" fillId="0" borderId="0"/>
    <xf numFmtId="0" fontId="29" fillId="0" borderId="0"/>
    <xf numFmtId="0" fontId="29" fillId="0" borderId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 applyNumberFormat="0" applyFont="0" applyFill="0" applyBorder="0" applyAlignment="0" applyProtection="0">
      <alignment horizontal="left"/>
    </xf>
    <xf numFmtId="3" fontId="16" fillId="0" borderId="0" applyFont="0" applyFill="0" applyBorder="0" applyAlignment="0" applyProtection="0"/>
  </cellStyleXfs>
  <cellXfs count="84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0" xfId="0" applyFill="1" applyAlignment="1">
      <alignment horizontal="right"/>
    </xf>
    <xf numFmtId="0" fontId="0" fillId="2" borderId="0" xfId="0" applyFill="1"/>
    <xf numFmtId="0" fontId="8" fillId="2" borderId="3" xfId="0" applyFont="1" applyFill="1" applyBorder="1" applyAlignment="1">
      <alignment horizontal="right" vertical="center"/>
    </xf>
    <xf numFmtId="0" fontId="0" fillId="2" borderId="4" xfId="0" applyFill="1" applyBorder="1"/>
    <xf numFmtId="0" fontId="9" fillId="2" borderId="3" xfId="0" applyFont="1" applyFill="1" applyBorder="1" applyAlignment="1">
      <alignment horizontal="right" vertical="center"/>
    </xf>
    <xf numFmtId="0" fontId="9" fillId="2" borderId="0" xfId="0" applyFont="1" applyFill="1"/>
    <xf numFmtId="0" fontId="10" fillId="2" borderId="3" xfId="0" applyFont="1" applyFill="1" applyBorder="1" applyAlignment="1">
      <alignment horizontal="left"/>
    </xf>
    <xf numFmtId="0" fontId="7" fillId="2" borderId="0" xfId="0" applyFont="1" applyFill="1"/>
    <xf numFmtId="0" fontId="10" fillId="2" borderId="3" xfId="0" applyFont="1" applyFill="1" applyBorder="1"/>
    <xf numFmtId="0" fontId="1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/>
    <xf numFmtId="0" fontId="14" fillId="2" borderId="0" xfId="0" applyFont="1" applyFill="1" applyAlignment="1">
      <alignment horizontal="left" vertical="top"/>
    </xf>
    <xf numFmtId="0" fontId="0" fillId="2" borderId="8" xfId="0" applyFill="1" applyBorder="1"/>
    <xf numFmtId="0" fontId="0" fillId="2" borderId="9" xfId="0" applyFill="1" applyBorder="1" applyAlignment="1">
      <alignment horizontal="center"/>
    </xf>
    <xf numFmtId="0" fontId="14" fillId="2" borderId="10" xfId="0" applyFont="1" applyFill="1" applyBorder="1" applyAlignment="1">
      <alignment horizontal="left" vertical="top"/>
    </xf>
    <xf numFmtId="0" fontId="0" fillId="2" borderId="10" xfId="0" applyFill="1" applyBorder="1"/>
    <xf numFmtId="0" fontId="0" fillId="2" borderId="11" xfId="0" applyFill="1" applyBorder="1"/>
    <xf numFmtId="0" fontId="0" fillId="2" borderId="0" xfId="0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2" fillId="2" borderId="0" xfId="0" applyFont="1" applyFill="1"/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13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3" borderId="13" xfId="0" applyFill="1" applyBorder="1"/>
    <xf numFmtId="0" fontId="0" fillId="3" borderId="11" xfId="0" applyFill="1" applyBorder="1"/>
    <xf numFmtId="0" fontId="0" fillId="2" borderId="17" xfId="0" applyFill="1" applyBorder="1" applyAlignment="1">
      <alignment horizontal="center" vertical="center"/>
    </xf>
    <xf numFmtId="0" fontId="0" fillId="2" borderId="0" xfId="0" applyFill="1" applyAlignment="1">
      <alignment wrapText="1"/>
    </xf>
    <xf numFmtId="168" fontId="2" fillId="0" borderId="18" xfId="7" applyFont="1" applyBorder="1"/>
    <xf numFmtId="169" fontId="4" fillId="0" borderId="0" xfId="6" applyFont="1"/>
    <xf numFmtId="10" fontId="4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74" fontId="2" fillId="0" borderId="0" xfId="0" applyNumberFormat="1" applyFont="1" applyAlignment="1">
      <alignment horizontal="center"/>
    </xf>
    <xf numFmtId="171" fontId="4" fillId="2" borderId="1" xfId="0" applyNumberFormat="1" applyFont="1" applyFill="1" applyBorder="1"/>
    <xf numFmtId="10" fontId="17" fillId="0" borderId="4" xfId="18" applyNumberFormat="1" applyFont="1" applyBorder="1" applyAlignment="1">
      <alignment horizontal="center"/>
    </xf>
    <xf numFmtId="174" fontId="18" fillId="4" borderId="18" xfId="7" applyNumberFormat="1" applyFont="1" applyFill="1" applyBorder="1" applyAlignment="1">
      <alignment horizontal="center"/>
    </xf>
    <xf numFmtId="169" fontId="1" fillId="0" borderId="0" xfId="6"/>
    <xf numFmtId="174" fontId="4" fillId="4" borderId="19" xfId="7" applyNumberFormat="1" applyFont="1" applyFill="1" applyBorder="1" applyAlignment="1">
      <alignment horizontal="center"/>
    </xf>
    <xf numFmtId="174" fontId="2" fillId="0" borderId="0" xfId="7" applyNumberFormat="1" applyFont="1" applyFill="1" applyAlignment="1">
      <alignment horizontal="center"/>
    </xf>
    <xf numFmtId="10" fontId="4" fillId="0" borderId="4" xfId="18" applyNumberFormat="1" applyFont="1" applyBorder="1" applyAlignment="1">
      <alignment horizontal="center"/>
    </xf>
    <xf numFmtId="169" fontId="3" fillId="2" borderId="3" xfId="6" applyFont="1" applyFill="1" applyBorder="1" applyAlignment="1">
      <alignment horizontal="left"/>
    </xf>
    <xf numFmtId="174" fontId="4" fillId="4" borderId="18" xfId="7" applyNumberFormat="1" applyFont="1" applyFill="1" applyBorder="1" applyAlignment="1">
      <alignment horizontal="center"/>
    </xf>
    <xf numFmtId="174" fontId="4" fillId="0" borderId="0" xfId="7" applyNumberFormat="1" applyFont="1" applyFill="1" applyAlignment="1">
      <alignment horizontal="center"/>
    </xf>
    <xf numFmtId="174" fontId="0" fillId="2" borderId="0" xfId="0" applyNumberFormat="1" applyFill="1"/>
    <xf numFmtId="0" fontId="2" fillId="0" borderId="0" xfId="0" applyFon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0" borderId="0" xfId="0" applyFont="1"/>
    <xf numFmtId="10" fontId="20" fillId="0" borderId="0" xfId="18" applyNumberFormat="1" applyFont="1" applyAlignment="1">
      <alignment horizontal="center"/>
    </xf>
    <xf numFmtId="171" fontId="0" fillId="0" borderId="22" xfId="0" applyNumberFormat="1" applyBorder="1"/>
    <xf numFmtId="0" fontId="4" fillId="2" borderId="0" xfId="0" applyFont="1" applyFill="1" applyAlignment="1">
      <alignment horizontal="center"/>
    </xf>
    <xf numFmtId="10" fontId="17" fillId="0" borderId="4" xfId="18" applyNumberFormat="1" applyFont="1" applyBorder="1" applyAlignment="1" applyProtection="1">
      <alignment horizontal="center"/>
      <protection locked="0"/>
    </xf>
    <xf numFmtId="171" fontId="0" fillId="0" borderId="0" xfId="0" applyNumberFormat="1"/>
    <xf numFmtId="0" fontId="0" fillId="5" borderId="13" xfId="0" applyFill="1" applyBorder="1"/>
    <xf numFmtId="3" fontId="23" fillId="0" borderId="0" xfId="0" applyNumberFormat="1" applyFont="1"/>
    <xf numFmtId="3" fontId="22" fillId="0" borderId="0" xfId="0" applyNumberFormat="1" applyFont="1"/>
    <xf numFmtId="3" fontId="24" fillId="0" borderId="0" xfId="0" applyNumberFormat="1" applyFont="1"/>
    <xf numFmtId="3" fontId="0" fillId="0" borderId="0" xfId="0" applyNumberFormat="1"/>
    <xf numFmtId="10" fontId="0" fillId="0" borderId="0" xfId="18" applyNumberFormat="1" applyFont="1"/>
    <xf numFmtId="0" fontId="5" fillId="0" borderId="0" xfId="0" applyFont="1" applyAlignment="1">
      <alignment horizontal="center" vertical="center"/>
    </xf>
    <xf numFmtId="0" fontId="0" fillId="0" borderId="23" xfId="0" applyBorder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5" borderId="24" xfId="0" applyFont="1" applyFill="1" applyBorder="1" applyAlignment="1">
      <alignment horizontal="center" vertical="center" wrapText="1"/>
    </xf>
    <xf numFmtId="171" fontId="2" fillId="6" borderId="18" xfId="0" applyNumberFormat="1" applyFont="1" applyFill="1" applyBorder="1" applyAlignment="1">
      <alignment horizontal="center" vertical="center" wrapText="1"/>
    </xf>
    <xf numFmtId="175" fontId="2" fillId="6" borderId="18" xfId="0" applyNumberFormat="1" applyFont="1" applyFill="1" applyBorder="1" applyAlignment="1">
      <alignment horizontal="center" vertical="center" wrapText="1"/>
    </xf>
    <xf numFmtId="171" fontId="2" fillId="3" borderId="18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171" fontId="2" fillId="4" borderId="18" xfId="0" applyNumberFormat="1" applyFont="1" applyFill="1" applyBorder="1" applyAlignment="1">
      <alignment horizontal="center" vertical="center" wrapText="1"/>
    </xf>
    <xf numFmtId="171" fontId="2" fillId="0" borderId="1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0" fontId="3" fillId="7" borderId="1" xfId="0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2" fontId="19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8" borderId="1" xfId="0" applyFill="1" applyBorder="1"/>
    <xf numFmtId="0" fontId="0" fillId="0" borderId="0" xfId="0" applyAlignment="1">
      <alignment horizontal="left"/>
    </xf>
    <xf numFmtId="169" fontId="0" fillId="0" borderId="0" xfId="6" applyFont="1" applyFill="1" applyBorder="1"/>
    <xf numFmtId="169" fontId="0" fillId="0" borderId="0" xfId="6" applyFont="1"/>
    <xf numFmtId="0" fontId="0" fillId="2" borderId="24" xfId="0" applyFill="1" applyBorder="1"/>
    <xf numFmtId="0" fontId="0" fillId="0" borderId="24" xfId="0" applyBorder="1"/>
    <xf numFmtId="0" fontId="0" fillId="0" borderId="13" xfId="0" applyBorder="1"/>
    <xf numFmtId="169" fontId="27" fillId="9" borderId="1" xfId="0" applyNumberFormat="1" applyFont="1" applyFill="1" applyBorder="1"/>
    <xf numFmtId="0" fontId="27" fillId="9" borderId="22" xfId="0" applyFont="1" applyFill="1" applyBorder="1" applyAlignment="1">
      <alignment horizontal="centerContinuous"/>
    </xf>
    <xf numFmtId="169" fontId="27" fillId="9" borderId="1" xfId="6" applyFont="1" applyFill="1" applyBorder="1"/>
    <xf numFmtId="0" fontId="27" fillId="7" borderId="1" xfId="0" applyFont="1" applyFill="1" applyBorder="1" applyAlignment="1">
      <alignment horizontal="centerContinuous"/>
    </xf>
    <xf numFmtId="169" fontId="27" fillId="7" borderId="1" xfId="6" applyFont="1" applyFill="1" applyBorder="1" applyAlignment="1">
      <alignment horizontal="center"/>
    </xf>
    <xf numFmtId="169" fontId="27" fillId="7" borderId="1" xfId="6" applyFont="1" applyFill="1" applyBorder="1"/>
    <xf numFmtId="0" fontId="1" fillId="2" borderId="1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right"/>
    </xf>
    <xf numFmtId="14" fontId="0" fillId="0" borderId="1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9" borderId="4" xfId="0" applyFont="1" applyFill="1" applyBorder="1" applyAlignment="1">
      <alignment horizontal="left"/>
    </xf>
    <xf numFmtId="0" fontId="0" fillId="0" borderId="27" xfId="0" applyBorder="1" applyAlignment="1">
      <alignment horizontal="center" vertical="center" wrapText="1"/>
    </xf>
    <xf numFmtId="2" fontId="27" fillId="9" borderId="18" xfId="0" applyNumberFormat="1" applyFont="1" applyFill="1" applyBorder="1" applyAlignment="1">
      <alignment horizontal="center"/>
    </xf>
    <xf numFmtId="0" fontId="3" fillId="9" borderId="4" xfId="0" applyFont="1" applyFill="1" applyBorder="1" applyAlignment="1">
      <alignment horizontal="left"/>
    </xf>
    <xf numFmtId="169" fontId="0" fillId="2" borderId="0" xfId="6" applyFont="1" applyFill="1" applyAlignment="1">
      <alignment vertical="center"/>
    </xf>
    <xf numFmtId="169" fontId="27" fillId="0" borderId="0" xfId="6" applyFont="1" applyFill="1" applyBorder="1"/>
    <xf numFmtId="171" fontId="5" fillId="5" borderId="28" xfId="0" applyNumberFormat="1" applyFont="1" applyFill="1" applyBorder="1" applyAlignment="1">
      <alignment horizontal="center"/>
    </xf>
    <xf numFmtId="173" fontId="5" fillId="5" borderId="28" xfId="0" applyNumberFormat="1" applyFont="1" applyFill="1" applyBorder="1" applyAlignment="1">
      <alignment horizontal="center"/>
    </xf>
    <xf numFmtId="171" fontId="4" fillId="0" borderId="1" xfId="0" applyNumberFormat="1" applyFont="1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2" fontId="0" fillId="6" borderId="1" xfId="0" applyNumberFormat="1" applyFill="1" applyBorder="1"/>
    <xf numFmtId="171" fontId="5" fillId="5" borderId="18" xfId="0" applyNumberFormat="1" applyFont="1" applyFill="1" applyBorder="1" applyAlignment="1">
      <alignment horizontal="center"/>
    </xf>
    <xf numFmtId="3" fontId="22" fillId="0" borderId="12" xfId="0" applyNumberFormat="1" applyFont="1" applyBorder="1"/>
    <xf numFmtId="3" fontId="22" fillId="0" borderId="24" xfId="0" applyNumberFormat="1" applyFont="1" applyBorder="1"/>
    <xf numFmtId="3" fontId="22" fillId="0" borderId="13" xfId="0" applyNumberFormat="1" applyFont="1" applyBorder="1"/>
    <xf numFmtId="3" fontId="22" fillId="0" borderId="2" xfId="0" applyNumberFormat="1" applyFont="1" applyBorder="1"/>
    <xf numFmtId="3" fontId="22" fillId="0" borderId="9" xfId="0" applyNumberFormat="1" applyFont="1" applyBorder="1"/>
    <xf numFmtId="3" fontId="21" fillId="0" borderId="10" xfId="0" applyNumberFormat="1" applyFont="1" applyBorder="1"/>
    <xf numFmtId="10" fontId="21" fillId="0" borderId="10" xfId="0" applyNumberFormat="1" applyFont="1" applyBorder="1"/>
    <xf numFmtId="169" fontId="25" fillId="0" borderId="10" xfId="6" applyFont="1" applyFill="1" applyBorder="1"/>
    <xf numFmtId="3" fontId="22" fillId="0" borderId="11" xfId="0" applyNumberFormat="1" applyFont="1" applyBorder="1"/>
    <xf numFmtId="0" fontId="0" fillId="0" borderId="0" xfId="0" applyAlignment="1">
      <alignment vertical="center" wrapText="1"/>
    </xf>
    <xf numFmtId="3" fontId="22" fillId="0" borderId="2" xfId="0" applyNumberFormat="1" applyFont="1" applyBorder="1" applyAlignment="1">
      <alignment vertical="center" wrapText="1"/>
    </xf>
    <xf numFmtId="3" fontId="22" fillId="0" borderId="8" xfId="0" applyNumberFormat="1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2" borderId="23" xfId="0" applyFill="1" applyBorder="1" applyAlignment="1">
      <alignment vertical="center" wrapText="1"/>
    </xf>
    <xf numFmtId="0" fontId="8" fillId="0" borderId="29" xfId="0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8" fillId="0" borderId="30" xfId="0" applyFont="1" applyBorder="1" applyAlignment="1">
      <alignment horizontal="right" vertical="center" wrapText="1"/>
    </xf>
    <xf numFmtId="14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3" fontId="22" fillId="0" borderId="2" xfId="0" applyNumberFormat="1" applyFont="1" applyBorder="1" applyAlignment="1">
      <alignment vertical="center"/>
    </xf>
    <xf numFmtId="3" fontId="22" fillId="0" borderId="0" xfId="0" applyNumberFormat="1" applyFont="1" applyAlignment="1">
      <alignment vertical="center"/>
    </xf>
    <xf numFmtId="180" fontId="0" fillId="0" borderId="23" xfId="3" applyNumberFormat="1" applyFont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182" fontId="0" fillId="0" borderId="0" xfId="3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22" fillId="0" borderId="0" xfId="0" applyNumberFormat="1" applyFont="1" applyAlignment="1">
      <alignment horizontal="left" vertical="center"/>
    </xf>
    <xf numFmtId="170" fontId="21" fillId="0" borderId="0" xfId="3" applyFont="1" applyBorder="1" applyAlignment="1">
      <alignment vertical="center"/>
    </xf>
    <xf numFmtId="10" fontId="22" fillId="0" borderId="8" xfId="0" applyNumberFormat="1" applyFont="1" applyBorder="1" applyAlignment="1">
      <alignment vertical="center"/>
    </xf>
    <xf numFmtId="183" fontId="0" fillId="0" borderId="23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10" fontId="21" fillId="0" borderId="8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/>
    </xf>
    <xf numFmtId="4" fontId="0" fillId="0" borderId="23" xfId="0" applyNumberForma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3" fontId="22" fillId="0" borderId="8" xfId="0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3" fontId="23" fillId="0" borderId="0" xfId="0" applyNumberFormat="1" applyFont="1" applyAlignment="1">
      <alignment vertical="center"/>
    </xf>
    <xf numFmtId="178" fontId="22" fillId="0" borderId="0" xfId="0" applyNumberFormat="1" applyFont="1" applyAlignment="1">
      <alignment vertical="center"/>
    </xf>
    <xf numFmtId="169" fontId="22" fillId="0" borderId="0" xfId="6" applyFont="1" applyBorder="1" applyAlignment="1">
      <alignment vertical="center"/>
    </xf>
    <xf numFmtId="10" fontId="21" fillId="0" borderId="0" xfId="0" applyNumberFormat="1" applyFont="1" applyAlignment="1">
      <alignment vertical="center"/>
    </xf>
    <xf numFmtId="2" fontId="27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3" fontId="0" fillId="0" borderId="31" xfId="0" applyNumberFormat="1" applyBorder="1"/>
    <xf numFmtId="0" fontId="0" fillId="0" borderId="31" xfId="0" applyBorder="1"/>
    <xf numFmtId="170" fontId="4" fillId="0" borderId="0" xfId="3" applyFont="1" applyBorder="1"/>
    <xf numFmtId="0" fontId="8" fillId="6" borderId="32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center" vertical="center" wrapText="1"/>
    </xf>
    <xf numFmtId="14" fontId="8" fillId="6" borderId="34" xfId="0" applyNumberFormat="1" applyFont="1" applyFill="1" applyBorder="1" applyAlignment="1">
      <alignment horizontal="center" vertical="center" wrapText="1"/>
    </xf>
    <xf numFmtId="1" fontId="8" fillId="8" borderId="35" xfId="0" applyNumberFormat="1" applyFont="1" applyFill="1" applyBorder="1" applyAlignment="1">
      <alignment horizontal="center" vertical="center" wrapText="1"/>
    </xf>
    <xf numFmtId="169" fontId="0" fillId="10" borderId="1" xfId="0" applyNumberFormat="1" applyFill="1" applyBorder="1"/>
    <xf numFmtId="171" fontId="12" fillId="10" borderId="1" xfId="0" applyNumberFormat="1" applyFont="1" applyFill="1" applyBorder="1" applyAlignment="1">
      <alignment horizontal="center" vertical="center"/>
    </xf>
    <xf numFmtId="171" fontId="12" fillId="10" borderId="16" xfId="0" applyNumberFormat="1" applyFont="1" applyFill="1" applyBorder="1" applyAlignment="1">
      <alignment horizontal="center" vertical="center"/>
    </xf>
    <xf numFmtId="171" fontId="12" fillId="10" borderId="21" xfId="0" applyNumberFormat="1" applyFont="1" applyFill="1" applyBorder="1" applyAlignment="1">
      <alignment horizontal="center" vertical="center"/>
    </xf>
    <xf numFmtId="173" fontId="12" fillId="10" borderId="16" xfId="0" applyNumberFormat="1" applyFont="1" applyFill="1" applyBorder="1" applyAlignment="1">
      <alignment horizontal="center" vertical="center"/>
    </xf>
    <xf numFmtId="0" fontId="33" fillId="2" borderId="0" xfId="0" applyFont="1" applyFill="1"/>
    <xf numFmtId="3" fontId="25" fillId="0" borderId="0" xfId="0" applyNumberFormat="1" applyFont="1" applyAlignment="1">
      <alignment vertical="center"/>
    </xf>
    <xf numFmtId="169" fontId="25" fillId="11" borderId="1" xfId="6" applyFont="1" applyFill="1" applyBorder="1" applyAlignment="1">
      <alignment vertical="center"/>
    </xf>
    <xf numFmtId="169" fontId="21" fillId="0" borderId="0" xfId="6" applyFont="1" applyBorder="1" applyAlignment="1">
      <alignment vertical="center"/>
    </xf>
    <xf numFmtId="169" fontId="35" fillId="11" borderId="1" xfId="6" applyFont="1" applyFill="1" applyBorder="1" applyAlignment="1">
      <alignment vertical="center"/>
    </xf>
    <xf numFmtId="43" fontId="0" fillId="0" borderId="0" xfId="0" applyNumberFormat="1" applyAlignment="1">
      <alignment horizontal="center"/>
    </xf>
    <xf numFmtId="43" fontId="0" fillId="0" borderId="31" xfId="0" applyNumberFormat="1" applyBorder="1" applyAlignment="1">
      <alignment horizontal="left"/>
    </xf>
    <xf numFmtId="43" fontId="0" fillId="0" borderId="0" xfId="0" applyNumberFormat="1" applyAlignment="1">
      <alignment horizontal="left"/>
    </xf>
    <xf numFmtId="0" fontId="37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71" fontId="0" fillId="10" borderId="1" xfId="0" applyNumberFormat="1" applyFill="1" applyBorder="1"/>
    <xf numFmtId="169" fontId="0" fillId="2" borderId="0" xfId="6" applyFont="1" applyFill="1" applyAlignment="1">
      <alignment horizontal="center" vertical="center"/>
    </xf>
    <xf numFmtId="0" fontId="0" fillId="2" borderId="36" xfId="0" applyFill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/>
    </xf>
    <xf numFmtId="171" fontId="0" fillId="12" borderId="1" xfId="0" applyNumberFormat="1" applyFill="1" applyBorder="1"/>
    <xf numFmtId="173" fontId="4" fillId="2" borderId="1" xfId="0" applyNumberFormat="1" applyFont="1" applyFill="1" applyBorder="1"/>
    <xf numFmtId="10" fontId="42" fillId="0" borderId="0" xfId="0" applyNumberFormat="1" applyFont="1" applyAlignment="1">
      <alignment horizontal="center" vertical="center" wrapText="1"/>
    </xf>
    <xf numFmtId="4" fontId="22" fillId="0" borderId="0" xfId="0" quotePrefix="1" applyNumberFormat="1" applyFont="1" applyAlignment="1">
      <alignment horizontal="center" vertical="center"/>
    </xf>
    <xf numFmtId="176" fontId="2" fillId="0" borderId="0" xfId="0" applyNumberFormat="1" applyFont="1" applyAlignment="1">
      <alignment vertical="center" wrapText="1"/>
    </xf>
    <xf numFmtId="3" fontId="34" fillId="0" borderId="0" xfId="0" applyNumberFormat="1" applyFont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0" fillId="0" borderId="8" xfId="0" applyBorder="1"/>
    <xf numFmtId="0" fontId="0" fillId="2" borderId="37" xfId="0" applyFill="1" applyBorder="1"/>
    <xf numFmtId="0" fontId="6" fillId="2" borderId="8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171" fontId="0" fillId="13" borderId="1" xfId="0" applyNumberFormat="1" applyFill="1" applyBorder="1"/>
    <xf numFmtId="10" fontId="1" fillId="14" borderId="1" xfId="18" applyNumberFormat="1" applyFill="1" applyBorder="1" applyAlignment="1">
      <alignment horizontal="center"/>
    </xf>
    <xf numFmtId="1" fontId="0" fillId="13" borderId="1" xfId="0" applyNumberFormat="1" applyFill="1" applyBorder="1"/>
    <xf numFmtId="169" fontId="0" fillId="13" borderId="1" xfId="6" applyFont="1" applyFill="1" applyBorder="1"/>
    <xf numFmtId="1" fontId="0" fillId="13" borderId="20" xfId="0" applyNumberFormat="1" applyFill="1" applyBorder="1"/>
    <xf numFmtId="2" fontId="0" fillId="13" borderId="1" xfId="0" applyNumberFormat="1" applyFill="1" applyBorder="1"/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173" fontId="0" fillId="13" borderId="1" xfId="0" applyNumberFormat="1" applyFill="1" applyBorder="1" applyAlignment="1">
      <alignment horizontal="center" vertical="center"/>
    </xf>
    <xf numFmtId="173" fontId="0" fillId="13" borderId="1" xfId="0" applyNumberFormat="1" applyFill="1" applyBorder="1" applyAlignment="1">
      <alignment vertical="center"/>
    </xf>
    <xf numFmtId="171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13" borderId="4" xfId="0" applyFill="1" applyBorder="1" applyAlignment="1">
      <alignment horizontal="left"/>
    </xf>
    <xf numFmtId="0" fontId="14" fillId="13" borderId="1" xfId="0" applyFont="1" applyFill="1" applyBorder="1" applyAlignment="1">
      <alignment vertical="center" wrapText="1"/>
    </xf>
    <xf numFmtId="0" fontId="14" fillId="13" borderId="1" xfId="0" applyFont="1" applyFill="1" applyBorder="1" applyAlignment="1">
      <alignment vertical="center"/>
    </xf>
    <xf numFmtId="0" fontId="14" fillId="13" borderId="1" xfId="0" applyFont="1" applyFill="1" applyBorder="1" applyAlignment="1">
      <alignment vertical="justify"/>
    </xf>
    <xf numFmtId="171" fontId="0" fillId="13" borderId="20" xfId="0" applyNumberFormat="1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3" borderId="20" xfId="0" applyFill="1" applyBorder="1" applyAlignment="1">
      <alignment vertical="center"/>
    </xf>
    <xf numFmtId="173" fontId="0" fillId="13" borderId="20" xfId="0" applyNumberFormat="1" applyFill="1" applyBorder="1" applyAlignment="1">
      <alignment vertical="center"/>
    </xf>
    <xf numFmtId="0" fontId="0" fillId="13" borderId="20" xfId="0" applyFill="1" applyBorder="1" applyAlignment="1">
      <alignment vertical="center" wrapText="1"/>
    </xf>
    <xf numFmtId="171" fontId="0" fillId="13" borderId="1" xfId="0" applyNumberFormat="1" applyFill="1" applyBorder="1" applyAlignment="1">
      <alignment vertical="center"/>
    </xf>
    <xf numFmtId="173" fontId="0" fillId="13" borderId="20" xfId="0" applyNumberFormat="1" applyFill="1" applyBorder="1" applyAlignment="1">
      <alignment horizontal="center" vertical="center"/>
    </xf>
    <xf numFmtId="0" fontId="14" fillId="13" borderId="20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0" fillId="0" borderId="42" xfId="0" applyBorder="1"/>
    <xf numFmtId="0" fontId="45" fillId="0" borderId="0" xfId="0" applyFont="1"/>
    <xf numFmtId="0" fontId="17" fillId="0" borderId="0" xfId="0" applyFont="1"/>
    <xf numFmtId="0" fontId="0" fillId="9" borderId="1" xfId="0" applyFill="1" applyBorder="1" applyAlignment="1">
      <alignment horizontal="center"/>
    </xf>
    <xf numFmtId="0" fontId="0" fillId="0" borderId="10" xfId="0" applyBorder="1"/>
    <xf numFmtId="15" fontId="4" fillId="0" borderId="31" xfId="0" applyNumberFormat="1" applyFont="1" applyBorder="1" applyAlignment="1">
      <alignment horizontal="center"/>
    </xf>
    <xf numFmtId="186" fontId="5" fillId="12" borderId="18" xfId="0" applyNumberFormat="1" applyFont="1" applyFill="1" applyBorder="1" applyAlignment="1">
      <alignment vertical="center" wrapText="1"/>
    </xf>
    <xf numFmtId="173" fontId="39" fillId="3" borderId="18" xfId="0" applyNumberFormat="1" applyFont="1" applyFill="1" applyBorder="1" applyAlignment="1">
      <alignment horizontal="left" vertical="center"/>
    </xf>
    <xf numFmtId="10" fontId="42" fillId="0" borderId="18" xfId="18" applyNumberFormat="1" applyFont="1" applyFill="1" applyBorder="1" applyAlignment="1">
      <alignment horizontal="center"/>
    </xf>
    <xf numFmtId="3" fontId="38" fillId="0" borderId="2" xfId="0" applyNumberFormat="1" applyFont="1" applyBorder="1" applyAlignment="1">
      <alignment horizontal="center" vertical="center" wrapText="1"/>
    </xf>
    <xf numFmtId="0" fontId="0" fillId="8" borderId="43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185" fontId="0" fillId="8" borderId="44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0" fontId="0" fillId="2" borderId="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51" fillId="0" borderId="0" xfId="16" applyFont="1"/>
    <xf numFmtId="0" fontId="29" fillId="0" borderId="0" xfId="16"/>
    <xf numFmtId="0" fontId="3" fillId="0" borderId="0" xfId="16" applyFont="1" applyAlignment="1">
      <alignment horizontal="center"/>
    </xf>
    <xf numFmtId="17" fontId="2" fillId="7" borderId="1" xfId="16" applyNumberFormat="1" applyFont="1" applyFill="1" applyBorder="1" applyAlignment="1">
      <alignment horizontal="center"/>
    </xf>
    <xf numFmtId="0" fontId="14" fillId="0" borderId="0" xfId="16" applyFont="1"/>
    <xf numFmtId="0" fontId="52" fillId="0" borderId="0" xfId="16" applyFont="1"/>
    <xf numFmtId="0" fontId="53" fillId="0" borderId="0" xfId="16" applyFont="1"/>
    <xf numFmtId="0" fontId="29" fillId="0" borderId="45" xfId="16" applyBorder="1"/>
    <xf numFmtId="0" fontId="54" fillId="0" borderId="46" xfId="16" applyFont="1" applyBorder="1" applyAlignment="1">
      <alignment horizontal="center"/>
    </xf>
    <xf numFmtId="39" fontId="29" fillId="3" borderId="0" xfId="16" applyNumberFormat="1" applyFill="1"/>
    <xf numFmtId="0" fontId="29" fillId="0" borderId="46" xfId="16" applyBorder="1"/>
    <xf numFmtId="0" fontId="2" fillId="0" borderId="0" xfId="16" applyFont="1"/>
    <xf numFmtId="184" fontId="2" fillId="0" borderId="45" xfId="12" applyFont="1" applyBorder="1" applyProtection="1"/>
    <xf numFmtId="39" fontId="29" fillId="0" borderId="0" xfId="16" applyNumberFormat="1"/>
    <xf numFmtId="10" fontId="29" fillId="0" borderId="0" xfId="16" applyNumberFormat="1" applyAlignment="1">
      <alignment horizontal="right"/>
    </xf>
    <xf numFmtId="10" fontId="2" fillId="0" borderId="0" xfId="16" applyNumberFormat="1" applyFont="1" applyAlignment="1">
      <alignment horizontal="center"/>
    </xf>
    <xf numFmtId="39" fontId="29" fillId="0" borderId="46" xfId="16" applyNumberFormat="1" applyBorder="1"/>
    <xf numFmtId="39" fontId="2" fillId="0" borderId="45" xfId="16" applyNumberFormat="1" applyFont="1" applyBorder="1"/>
    <xf numFmtId="39" fontId="29" fillId="3" borderId="46" xfId="16" applyNumberFormat="1" applyFill="1" applyBorder="1"/>
    <xf numFmtId="39" fontId="29" fillId="3" borderId="47" xfId="16" applyNumberFormat="1" applyFill="1" applyBorder="1"/>
    <xf numFmtId="39" fontId="14" fillId="0" borderId="46" xfId="16" applyNumberFormat="1" applyFont="1" applyBorder="1"/>
    <xf numFmtId="184" fontId="2" fillId="7" borderId="45" xfId="12" applyFont="1" applyFill="1" applyBorder="1" applyProtection="1"/>
    <xf numFmtId="0" fontId="55" fillId="0" borderId="0" xfId="16" applyFont="1"/>
    <xf numFmtId="0" fontId="57" fillId="0" borderId="46" xfId="16" applyFont="1" applyBorder="1"/>
    <xf numFmtId="0" fontId="58" fillId="0" borderId="0" xfId="16" applyFont="1"/>
    <xf numFmtId="0" fontId="42" fillId="3" borderId="0" xfId="16" applyFont="1" applyFill="1" applyAlignment="1">
      <alignment horizontal="center"/>
    </xf>
    <xf numFmtId="0" fontId="60" fillId="0" borderId="0" xfId="16" applyFont="1"/>
    <xf numFmtId="184" fontId="2" fillId="0" borderId="1" xfId="12" applyFont="1" applyBorder="1"/>
    <xf numFmtId="0" fontId="2" fillId="0" borderId="48" xfId="16" applyFont="1" applyBorder="1" applyAlignment="1">
      <alignment horizontal="center"/>
    </xf>
    <xf numFmtId="0" fontId="2" fillId="0" borderId="44" xfId="16" applyFont="1" applyBorder="1" applyAlignment="1">
      <alignment horizontal="center"/>
    </xf>
    <xf numFmtId="0" fontId="29" fillId="0" borderId="0" xfId="16" applyAlignment="1">
      <alignment vertical="center" wrapText="1"/>
    </xf>
    <xf numFmtId="184" fontId="18" fillId="3" borderId="1" xfId="16" applyNumberFormat="1" applyFont="1" applyFill="1" applyBorder="1"/>
    <xf numFmtId="0" fontId="61" fillId="0" borderId="0" xfId="16" applyFont="1"/>
    <xf numFmtId="39" fontId="29" fillId="7" borderId="46" xfId="17" applyNumberFormat="1" applyFill="1" applyBorder="1"/>
    <xf numFmtId="39" fontId="29" fillId="3" borderId="49" xfId="16" applyNumberFormat="1" applyFill="1" applyBorder="1"/>
    <xf numFmtId="39" fontId="29" fillId="7" borderId="46" xfId="16" applyNumberFormat="1" applyFill="1" applyBorder="1"/>
    <xf numFmtId="0" fontId="55" fillId="0" borderId="46" xfId="16" applyFont="1" applyBorder="1"/>
    <xf numFmtId="0" fontId="55" fillId="0" borderId="49" xfId="16" applyFont="1" applyBorder="1"/>
    <xf numFmtId="0" fontId="29" fillId="0" borderId="0" xfId="16" applyAlignment="1">
      <alignment horizontal="center" vertical="center" wrapText="1"/>
    </xf>
    <xf numFmtId="0" fontId="17" fillId="0" borderId="46" xfId="16" applyFont="1" applyBorder="1" applyAlignment="1">
      <alignment horizontal="center"/>
    </xf>
    <xf numFmtId="0" fontId="12" fillId="9" borderId="50" xfId="16" applyFont="1" applyFill="1" applyBorder="1"/>
    <xf numFmtId="184" fontId="30" fillId="9" borderId="45" xfId="12" applyFont="1" applyFill="1" applyBorder="1" applyProtection="1"/>
    <xf numFmtId="169" fontId="0" fillId="0" borderId="0" xfId="0" applyNumberFormat="1" applyAlignment="1">
      <alignment vertical="center"/>
    </xf>
    <xf numFmtId="169" fontId="66" fillId="0" borderId="0" xfId="6" applyFont="1" applyFill="1" applyBorder="1" applyAlignment="1">
      <alignment vertical="center"/>
    </xf>
    <xf numFmtId="174" fontId="56" fillId="4" borderId="18" xfId="0" applyNumberFormat="1" applyFont="1" applyFill="1" applyBorder="1" applyAlignment="1">
      <alignment horizontal="center" vertical="center" wrapText="1"/>
    </xf>
    <xf numFmtId="174" fontId="68" fillId="7" borderId="18" xfId="0" applyNumberFormat="1" applyFont="1" applyFill="1" applyBorder="1" applyAlignment="1">
      <alignment horizontal="center"/>
    </xf>
    <xf numFmtId="173" fontId="30" fillId="3" borderId="18" xfId="0" applyNumberFormat="1" applyFont="1" applyFill="1" applyBorder="1" applyAlignment="1">
      <alignment horizontal="left" vertical="center"/>
    </xf>
    <xf numFmtId="169" fontId="59" fillId="15" borderId="1" xfId="6" applyFont="1" applyFill="1" applyBorder="1" applyAlignment="1">
      <alignment vertical="center"/>
    </xf>
    <xf numFmtId="169" fontId="62" fillId="16" borderId="1" xfId="6" applyFont="1" applyFill="1" applyBorder="1" applyAlignment="1">
      <alignment vertical="center" wrapText="1"/>
    </xf>
    <xf numFmtId="0" fontId="55" fillId="0" borderId="0" xfId="0" applyFont="1"/>
    <xf numFmtId="10" fontId="32" fillId="14" borderId="1" xfId="0" applyNumberFormat="1" applyFont="1" applyFill="1" applyBorder="1" applyAlignment="1">
      <alignment horizontal="center" vertical="center" wrapText="1"/>
    </xf>
    <xf numFmtId="169" fontId="36" fillId="14" borderId="1" xfId="6" applyFont="1" applyFill="1" applyBorder="1" applyAlignment="1">
      <alignment vertical="center" wrapText="1"/>
    </xf>
    <xf numFmtId="169" fontId="59" fillId="15" borderId="0" xfId="6" applyFont="1" applyFill="1" applyBorder="1" applyAlignment="1">
      <alignment vertical="center"/>
    </xf>
    <xf numFmtId="10" fontId="0" fillId="0" borderId="0" xfId="18" applyNumberFormat="1" applyFont="1" applyAlignment="1">
      <alignment vertical="center" wrapText="1"/>
    </xf>
    <xf numFmtId="10" fontId="70" fillId="17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/>
    </xf>
    <xf numFmtId="189" fontId="2" fillId="6" borderId="18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171" fontId="2" fillId="0" borderId="0" xfId="0" applyNumberFormat="1" applyFont="1" applyAlignment="1">
      <alignment horizontal="center" vertical="center" wrapText="1"/>
    </xf>
    <xf numFmtId="9" fontId="0" fillId="0" borderId="0" xfId="0" applyNumberFormat="1"/>
    <xf numFmtId="0" fontId="17" fillId="0" borderId="0" xfId="16" applyFont="1" applyAlignment="1">
      <alignment horizontal="center" vertical="center" wrapText="1"/>
    </xf>
    <xf numFmtId="0" fontId="29" fillId="0" borderId="0" xfId="16" applyAlignment="1">
      <alignment horizontal="center"/>
    </xf>
    <xf numFmtId="39" fontId="29" fillId="7" borderId="0" xfId="16" applyNumberFormat="1" applyFill="1" applyAlignment="1">
      <alignment horizontal="center"/>
    </xf>
    <xf numFmtId="39" fontId="2" fillId="0" borderId="46" xfId="16" applyNumberFormat="1" applyFont="1" applyBorder="1"/>
    <xf numFmtId="10" fontId="2" fillId="7" borderId="0" xfId="16" applyNumberFormat="1" applyFont="1" applyFill="1" applyAlignment="1">
      <alignment horizontal="right"/>
    </xf>
    <xf numFmtId="169" fontId="2" fillId="7" borderId="0" xfId="11" applyFont="1" applyFill="1" applyBorder="1" applyProtection="1"/>
    <xf numFmtId="0" fontId="2" fillId="9" borderId="1" xfId="0" applyFont="1" applyFill="1" applyBorder="1" applyAlignment="1">
      <alignment horizontal="center" vertical="center" textRotation="90"/>
    </xf>
    <xf numFmtId="0" fontId="2" fillId="9" borderId="1" xfId="0" applyFont="1" applyFill="1" applyBorder="1" applyAlignment="1">
      <alignment horizontal="center" vertical="center" textRotation="90" wrapText="1"/>
    </xf>
    <xf numFmtId="0" fontId="2" fillId="9" borderId="20" xfId="0" applyFont="1" applyFill="1" applyBorder="1" applyAlignment="1">
      <alignment horizontal="center" vertical="center" textRotation="90" wrapText="1"/>
    </xf>
    <xf numFmtId="2" fontId="2" fillId="9" borderId="20" xfId="0" applyNumberFormat="1" applyFont="1" applyFill="1" applyBorder="1" applyAlignment="1">
      <alignment horizontal="center" vertical="center" textRotation="90" wrapText="1"/>
    </xf>
    <xf numFmtId="0" fontId="62" fillId="9" borderId="20" xfId="0" applyFont="1" applyFill="1" applyBorder="1" applyAlignment="1">
      <alignment horizontal="center" vertical="center" textRotation="90" wrapText="1"/>
    </xf>
    <xf numFmtId="9" fontId="2" fillId="7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169" fontId="2" fillId="7" borderId="1" xfId="6" applyFont="1" applyFill="1" applyBorder="1" applyAlignment="1">
      <alignment horizontal="center" vertical="center" wrapText="1"/>
    </xf>
    <xf numFmtId="10" fontId="2" fillId="7" borderId="1" xfId="18" applyNumberFormat="1" applyFont="1" applyFill="1" applyBorder="1" applyAlignment="1">
      <alignment horizontal="center" vertical="center" wrapText="1"/>
    </xf>
    <xf numFmtId="186" fontId="2" fillId="7" borderId="1" xfId="0" applyNumberFormat="1" applyFont="1" applyFill="1" applyBorder="1" applyAlignment="1">
      <alignment horizontal="center" vertical="center" wrapText="1"/>
    </xf>
    <xf numFmtId="3" fontId="4" fillId="0" borderId="1" xfId="21" applyFont="1" applyBorder="1" applyAlignment="1">
      <alignment horizontal="center" vertical="center" wrapText="1"/>
    </xf>
    <xf numFmtId="186" fontId="2" fillId="3" borderId="1" xfId="0" applyNumberFormat="1" applyFont="1" applyFill="1" applyBorder="1" applyAlignment="1">
      <alignment vertical="center"/>
    </xf>
    <xf numFmtId="186" fontId="2" fillId="18" borderId="1" xfId="0" applyNumberFormat="1" applyFont="1" applyFill="1" applyBorder="1" applyAlignment="1">
      <alignment vertical="center"/>
    </xf>
    <xf numFmtId="186" fontId="2" fillId="12" borderId="1" xfId="0" applyNumberFormat="1" applyFont="1" applyFill="1" applyBorder="1" applyAlignment="1">
      <alignment vertical="center"/>
    </xf>
    <xf numFmtId="186" fontId="72" fillId="9" borderId="1" xfId="0" applyNumberFormat="1" applyFont="1" applyFill="1" applyBorder="1" applyAlignment="1">
      <alignment vertical="center"/>
    </xf>
    <xf numFmtId="186" fontId="2" fillId="0" borderId="1" xfId="0" applyNumberFormat="1" applyFont="1" applyBorder="1" applyAlignment="1">
      <alignment horizontal="center" vertical="center"/>
    </xf>
    <xf numFmtId="187" fontId="59" fillId="7" borderId="1" xfId="0" applyNumberFormat="1" applyFont="1" applyFill="1" applyBorder="1" applyAlignment="1">
      <alignment horizontal="center" vertical="center"/>
    </xf>
    <xf numFmtId="3" fontId="0" fillId="8" borderId="1" xfId="0" applyNumberFormat="1" applyFill="1" applyBorder="1"/>
    <xf numFmtId="9" fontId="29" fillId="0" borderId="0" xfId="16" applyNumberFormat="1"/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 indent="4"/>
    </xf>
    <xf numFmtId="1" fontId="0" fillId="13" borderId="1" xfId="0" applyNumberFormat="1" applyFill="1" applyBorder="1" applyAlignment="1">
      <alignment horizontal="center" vertical="center"/>
    </xf>
    <xf numFmtId="9" fontId="0" fillId="0" borderId="0" xfId="18" applyFont="1" applyFill="1" applyBorder="1" applyAlignment="1">
      <alignment horizontal="center"/>
    </xf>
    <xf numFmtId="177" fontId="4" fillId="0" borderId="1" xfId="18" applyNumberFormat="1" applyFont="1" applyBorder="1" applyAlignment="1">
      <alignment horizontal="center" vertical="center"/>
    </xf>
    <xf numFmtId="0" fontId="73" fillId="0" borderId="1" xfId="0" applyFont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74" fillId="0" borderId="1" xfId="0" applyFont="1" applyBorder="1"/>
    <xf numFmtId="186" fontId="44" fillId="0" borderId="1" xfId="0" applyNumberFormat="1" applyFont="1" applyBorder="1" applyAlignment="1">
      <alignment horizontal="center"/>
    </xf>
    <xf numFmtId="1" fontId="37" fillId="0" borderId="0" xfId="0" applyNumberFormat="1" applyFont="1" applyAlignment="1">
      <alignment horizontal="center" vertical="center" wrapText="1"/>
    </xf>
    <xf numFmtId="17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18" applyNumberFormat="1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172" fontId="14" fillId="0" borderId="1" xfId="6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center"/>
    </xf>
    <xf numFmtId="171" fontId="14" fillId="0" borderId="1" xfId="0" applyNumberFormat="1" applyFont="1" applyBorder="1" applyAlignment="1">
      <alignment horizontal="center"/>
    </xf>
    <xf numFmtId="9" fontId="14" fillId="0" borderId="1" xfId="18" applyFont="1" applyFill="1" applyBorder="1" applyAlignment="1">
      <alignment horizontal="center"/>
    </xf>
    <xf numFmtId="169" fontId="14" fillId="0" borderId="1" xfId="6" applyFont="1" applyFill="1" applyBorder="1" applyAlignment="1">
      <alignment horizontal="center"/>
    </xf>
    <xf numFmtId="10" fontId="14" fillId="0" borderId="1" xfId="18" applyNumberFormat="1" applyFont="1" applyFill="1" applyBorder="1" applyAlignment="1">
      <alignment horizontal="center"/>
    </xf>
    <xf numFmtId="171" fontId="14" fillId="0" borderId="16" xfId="0" applyNumberFormat="1" applyFont="1" applyBorder="1" applyAlignment="1">
      <alignment horizontal="center"/>
    </xf>
    <xf numFmtId="171" fontId="2" fillId="0" borderId="1" xfId="0" applyNumberFormat="1" applyFont="1" applyBorder="1"/>
    <xf numFmtId="9" fontId="2" fillId="0" borderId="1" xfId="18" applyFont="1" applyFill="1" applyBorder="1" applyAlignment="1">
      <alignment horizontal="center"/>
    </xf>
    <xf numFmtId="172" fontId="14" fillId="0" borderId="1" xfId="6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9" fontId="0" fillId="0" borderId="0" xfId="18" applyFont="1" applyAlignment="1">
      <alignment horizontal="center"/>
    </xf>
    <xf numFmtId="1" fontId="2" fillId="0" borderId="0" xfId="0" applyNumberFormat="1" applyFont="1" applyAlignment="1">
      <alignment horizontal="center"/>
    </xf>
    <xf numFmtId="169" fontId="2" fillId="2" borderId="0" xfId="6" applyFont="1" applyFill="1"/>
    <xf numFmtId="171" fontId="0" fillId="2" borderId="0" xfId="0" applyNumberFormat="1" applyFill="1"/>
    <xf numFmtId="0" fontId="0" fillId="0" borderId="51" xfId="0" applyBorder="1" applyAlignment="1">
      <alignment vertical="center"/>
    </xf>
    <xf numFmtId="172" fontId="14" fillId="0" borderId="20" xfId="6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/>
    </xf>
    <xf numFmtId="171" fontId="14" fillId="0" borderId="20" xfId="0" applyNumberFormat="1" applyFont="1" applyBorder="1" applyAlignment="1">
      <alignment horizontal="center"/>
    </xf>
    <xf numFmtId="9" fontId="14" fillId="0" borderId="20" xfId="18" applyFont="1" applyFill="1" applyBorder="1" applyAlignment="1">
      <alignment horizontal="center"/>
    </xf>
    <xf numFmtId="169" fontId="14" fillId="0" borderId="20" xfId="6" applyFont="1" applyFill="1" applyBorder="1" applyAlignment="1">
      <alignment horizontal="center"/>
    </xf>
    <xf numFmtId="10" fontId="14" fillId="0" borderId="20" xfId="18" applyNumberFormat="1" applyFont="1" applyFill="1" applyBorder="1" applyAlignment="1">
      <alignment horizontal="center"/>
    </xf>
    <xf numFmtId="171" fontId="14" fillId="0" borderId="21" xfId="0" applyNumberFormat="1" applyFont="1" applyBorder="1" applyAlignment="1">
      <alignment horizontal="center"/>
    </xf>
    <xf numFmtId="172" fontId="14" fillId="0" borderId="0" xfId="6" applyNumberFormat="1" applyFont="1" applyFill="1" applyBorder="1" applyAlignment="1">
      <alignment horizontal="center" vertical="center"/>
    </xf>
    <xf numFmtId="171" fontId="14" fillId="0" borderId="0" xfId="0" applyNumberFormat="1" applyFont="1" applyAlignment="1">
      <alignment horizontal="center"/>
    </xf>
    <xf numFmtId="169" fontId="25" fillId="0" borderId="0" xfId="6" applyFont="1" applyFill="1" applyBorder="1" applyAlignment="1">
      <alignment vertical="center"/>
    </xf>
    <xf numFmtId="169" fontId="68" fillId="15" borderId="1" xfId="6" applyFont="1" applyFill="1" applyBorder="1" applyAlignment="1">
      <alignment vertical="center"/>
    </xf>
    <xf numFmtId="3" fontId="77" fillId="0" borderId="8" xfId="0" applyNumberFormat="1" applyFont="1" applyBorder="1" applyAlignment="1">
      <alignment vertical="center"/>
    </xf>
    <xf numFmtId="3" fontId="25" fillId="0" borderId="1" xfId="0" applyNumberFormat="1" applyFont="1" applyBorder="1" applyAlignment="1">
      <alignment vertical="center"/>
    </xf>
    <xf numFmtId="169" fontId="78" fillId="19" borderId="1" xfId="6" applyFont="1" applyFill="1" applyBorder="1" applyAlignment="1">
      <alignment vertical="center"/>
    </xf>
    <xf numFmtId="3" fontId="21" fillId="0" borderId="8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3" fontId="21" fillId="0" borderId="2" xfId="0" applyNumberFormat="1" applyFont="1" applyBorder="1" applyAlignment="1">
      <alignment vertical="center"/>
    </xf>
    <xf numFmtId="3" fontId="25" fillId="0" borderId="0" xfId="0" quotePrefix="1" applyNumberFormat="1" applyFont="1" applyAlignment="1">
      <alignment horizontal="center" vertical="center" wrapText="1"/>
    </xf>
    <xf numFmtId="169" fontId="78" fillId="8" borderId="1" xfId="6" applyFont="1" applyFill="1" applyBorder="1" applyAlignment="1">
      <alignment vertical="center"/>
    </xf>
    <xf numFmtId="9" fontId="25" fillId="0" borderId="8" xfId="18" applyFont="1" applyBorder="1" applyAlignment="1">
      <alignment horizontal="center" vertical="center"/>
    </xf>
    <xf numFmtId="3" fontId="21" fillId="0" borderId="31" xfId="0" applyNumberFormat="1" applyFont="1" applyBorder="1" applyAlignment="1">
      <alignment vertical="center"/>
    </xf>
    <xf numFmtId="169" fontId="2" fillId="2" borderId="0" xfId="6" applyFont="1" applyFill="1" applyBorder="1"/>
    <xf numFmtId="171" fontId="41" fillId="10" borderId="53" xfId="0" applyNumberFormat="1" applyFont="1" applyFill="1" applyBorder="1" applyAlignment="1">
      <alignment horizontal="center" vertical="center" wrapText="1"/>
    </xf>
    <xf numFmtId="171" fontId="6" fillId="8" borderId="5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0" fillId="2" borderId="0" xfId="0" quotePrefix="1" applyFill="1" applyAlignment="1">
      <alignment horizontal="center"/>
    </xf>
    <xf numFmtId="171" fontId="41" fillId="0" borderId="18" xfId="0" applyNumberFormat="1" applyFont="1" applyBorder="1" applyAlignment="1">
      <alignment horizontal="center" vertical="center" wrapText="1"/>
    </xf>
    <xf numFmtId="0" fontId="14" fillId="0" borderId="31" xfId="0" applyFont="1" applyBorder="1" applyAlignment="1">
      <alignment horizontal="left"/>
    </xf>
    <xf numFmtId="10" fontId="4" fillId="0" borderId="0" xfId="0" applyNumberFormat="1" applyFont="1" applyAlignment="1">
      <alignment vertical="center"/>
    </xf>
    <xf numFmtId="169" fontId="75" fillId="0" borderId="0" xfId="6" applyFont="1"/>
    <xf numFmtId="43" fontId="4" fillId="2" borderId="0" xfId="0" applyNumberFormat="1" applyFont="1" applyFill="1"/>
    <xf numFmtId="10" fontId="4" fillId="0" borderId="0" xfId="18" applyNumberFormat="1" applyFont="1" applyAlignment="1">
      <alignment horizontal="center" vertical="center" wrapText="1"/>
    </xf>
    <xf numFmtId="186" fontId="42" fillId="6" borderId="1" xfId="0" applyNumberFormat="1" applyFont="1" applyFill="1" applyBorder="1" applyAlignment="1">
      <alignment vertical="center"/>
    </xf>
    <xf numFmtId="169" fontId="4" fillId="2" borderId="0" xfId="6" applyFont="1" applyFill="1" applyAlignment="1">
      <alignment vertical="center"/>
    </xf>
    <xf numFmtId="171" fontId="0" fillId="2" borderId="0" xfId="0" applyNumberFormat="1" applyFill="1" applyAlignment="1">
      <alignment vertical="center"/>
    </xf>
    <xf numFmtId="171" fontId="0" fillId="10" borderId="0" xfId="0" applyNumberFormat="1" applyFill="1" applyAlignment="1">
      <alignment horizontal="center"/>
    </xf>
    <xf numFmtId="177" fontId="37" fillId="0" borderId="0" xfId="0" applyNumberFormat="1" applyFont="1" applyAlignment="1">
      <alignment horizontal="center" vertical="center"/>
    </xf>
    <xf numFmtId="43" fontId="0" fillId="0" borderId="0" xfId="0" applyNumberFormat="1"/>
    <xf numFmtId="169" fontId="0" fillId="2" borderId="0" xfId="6" applyFont="1" applyFill="1"/>
    <xf numFmtId="169" fontId="17" fillId="2" borderId="0" xfId="0" applyNumberFormat="1" applyFont="1" applyFill="1"/>
    <xf numFmtId="43" fontId="17" fillId="2" borderId="0" xfId="0" applyNumberFormat="1" applyFont="1" applyFill="1"/>
    <xf numFmtId="188" fontId="11" fillId="0" borderId="0" xfId="0" applyNumberFormat="1" applyFont="1"/>
    <xf numFmtId="0" fontId="11" fillId="0" borderId="0" xfId="0" applyFont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69" fontId="2" fillId="0" borderId="0" xfId="6" applyFont="1"/>
    <xf numFmtId="10" fontId="2" fillId="0" borderId="0" xfId="18" applyNumberFormat="1" applyFont="1" applyAlignment="1">
      <alignment horizontal="center"/>
    </xf>
    <xf numFmtId="169" fontId="4" fillId="0" borderId="0" xfId="0" applyNumberFormat="1" applyFont="1"/>
    <xf numFmtId="1" fontId="0" fillId="0" borderId="0" xfId="6" applyNumberFormat="1" applyFont="1" applyFill="1" applyBorder="1" applyAlignment="1">
      <alignment horizontal="center"/>
    </xf>
    <xf numFmtId="169" fontId="75" fillId="0" borderId="0" xfId="0" applyNumberFormat="1" applyFont="1"/>
    <xf numFmtId="0" fontId="27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20" fillId="7" borderId="0" xfId="0" applyFont="1" applyFill="1"/>
    <xf numFmtId="169" fontId="20" fillId="7" borderId="0" xfId="6" applyFont="1" applyFill="1"/>
    <xf numFmtId="2" fontId="29" fillId="0" borderId="45" xfId="16" applyNumberFormat="1" applyBorder="1"/>
    <xf numFmtId="39" fontId="3" fillId="7" borderId="0" xfId="16" applyNumberFormat="1" applyFont="1" applyFill="1" applyAlignment="1">
      <alignment horizontal="center"/>
    </xf>
    <xf numFmtId="169" fontId="27" fillId="2" borderId="0" xfId="6" applyFont="1" applyFill="1" applyAlignment="1">
      <alignment horizontal="center" vertical="center"/>
    </xf>
    <xf numFmtId="0" fontId="27" fillId="0" borderId="0" xfId="16" applyFont="1" applyAlignment="1">
      <alignment horizontal="center"/>
    </xf>
    <xf numFmtId="186" fontId="3" fillId="0" borderId="0" xfId="16" applyNumberFormat="1" applyFont="1" applyAlignment="1">
      <alignment horizontal="center"/>
    </xf>
    <xf numFmtId="174" fontId="56" fillId="4" borderId="0" xfId="0" applyNumberFormat="1" applyFont="1" applyFill="1" applyAlignment="1">
      <alignment horizontal="center" vertical="center" wrapText="1"/>
    </xf>
    <xf numFmtId="172" fontId="58" fillId="0" borderId="0" xfId="6" applyNumberFormat="1" applyFont="1" applyFill="1" applyBorder="1" applyAlignment="1">
      <alignment horizontal="center" vertical="center"/>
    </xf>
    <xf numFmtId="169" fontId="29" fillId="0" borderId="0" xfId="16" applyNumberFormat="1"/>
    <xf numFmtId="0" fontId="7" fillId="0" borderId="0" xfId="0" applyFont="1" applyAlignment="1">
      <alignment horizontal="center" vertical="center" wrapText="1"/>
    </xf>
    <xf numFmtId="1" fontId="2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39" fontId="29" fillId="3" borderId="0" xfId="16" applyNumberFormat="1" applyFill="1" applyAlignment="1">
      <alignment horizontal="center"/>
    </xf>
    <xf numFmtId="0" fontId="2" fillId="0" borderId="0" xfId="16" applyFont="1" applyAlignment="1">
      <alignment horizontal="right"/>
    </xf>
    <xf numFmtId="43" fontId="29" fillId="0" borderId="45" xfId="16" applyNumberFormat="1" applyBorder="1"/>
    <xf numFmtId="43" fontId="2" fillId="0" borderId="0" xfId="16" applyNumberFormat="1" applyFont="1"/>
    <xf numFmtId="43" fontId="18" fillId="0" borderId="0" xfId="16" applyNumberFormat="1" applyFont="1"/>
    <xf numFmtId="186" fontId="29" fillId="0" borderId="0" xfId="16" applyNumberFormat="1"/>
    <xf numFmtId="1" fontId="29" fillId="0" borderId="0" xfId="16" applyNumberFormat="1" applyAlignment="1">
      <alignment horizontal="center"/>
    </xf>
    <xf numFmtId="9" fontId="29" fillId="0" borderId="0" xfId="16" applyNumberFormat="1" applyAlignment="1">
      <alignment horizontal="center"/>
    </xf>
    <xf numFmtId="171" fontId="4" fillId="0" borderId="0" xfId="0" applyNumberFormat="1" applyFont="1"/>
    <xf numFmtId="186" fontId="2" fillId="0" borderId="0" xfId="0" applyNumberFormat="1" applyFont="1" applyAlignment="1">
      <alignment horizontal="center" vertical="center"/>
    </xf>
    <xf numFmtId="3" fontId="4" fillId="0" borderId="0" xfId="21" applyFont="1" applyFill="1" applyBorder="1" applyAlignment="1">
      <alignment horizontal="center" vertical="center" wrapText="1"/>
    </xf>
    <xf numFmtId="186" fontId="14" fillId="0" borderId="0" xfId="0" applyNumberFormat="1" applyFont="1" applyAlignment="1">
      <alignment vertical="center"/>
    </xf>
    <xf numFmtId="186" fontId="2" fillId="0" borderId="0" xfId="0" applyNumberFormat="1" applyFont="1" applyAlignment="1">
      <alignment vertical="center"/>
    </xf>
    <xf numFmtId="169" fontId="75" fillId="0" borderId="0" xfId="6" applyFont="1" applyFill="1" applyBorder="1"/>
    <xf numFmtId="169" fontId="0" fillId="0" borderId="0" xfId="0" applyNumberFormat="1"/>
    <xf numFmtId="186" fontId="42" fillId="0" borderId="0" xfId="0" applyNumberFormat="1" applyFont="1" applyAlignment="1">
      <alignment vertical="center"/>
    </xf>
    <xf numFmtId="186" fontId="72" fillId="0" borderId="0" xfId="0" applyNumberFormat="1" applyFont="1" applyAlignment="1">
      <alignment vertical="center"/>
    </xf>
    <xf numFmtId="187" fontId="59" fillId="0" borderId="0" xfId="0" applyNumberFormat="1" applyFont="1" applyAlignment="1">
      <alignment horizontal="center" vertical="center"/>
    </xf>
    <xf numFmtId="172" fontId="4" fillId="2" borderId="0" xfId="0" applyNumberFormat="1" applyFont="1" applyFill="1"/>
    <xf numFmtId="2" fontId="4" fillId="0" borderId="1" xfId="0" applyNumberFormat="1" applyFont="1" applyBorder="1" applyAlignment="1">
      <alignment horizontal="center"/>
    </xf>
    <xf numFmtId="190" fontId="18" fillId="0" borderId="0" xfId="6" applyNumberFormat="1" applyFont="1" applyFill="1" applyBorder="1" applyAlignment="1">
      <alignment horizontal="center" vertical="center" wrapText="1"/>
    </xf>
    <xf numFmtId="0" fontId="2" fillId="0" borderId="0" xfId="16" applyFont="1" applyAlignment="1">
      <alignment horizontal="center"/>
    </xf>
    <xf numFmtId="17" fontId="2" fillId="0" borderId="0" xfId="16" applyNumberFormat="1" applyFont="1" applyAlignment="1">
      <alignment horizontal="center"/>
    </xf>
    <xf numFmtId="17" fontId="44" fillId="0" borderId="1" xfId="0" applyNumberFormat="1" applyFont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4" xfId="0" applyBorder="1"/>
    <xf numFmtId="0" fontId="94" fillId="21" borderId="0" xfId="16" applyFont="1" applyFill="1"/>
    <xf numFmtId="169" fontId="25" fillId="0" borderId="0" xfId="6" applyFont="1" applyBorder="1" applyAlignment="1">
      <alignment vertical="center"/>
    </xf>
    <xf numFmtId="174" fontId="0" fillId="0" borderId="0" xfId="0" applyNumberFormat="1"/>
    <xf numFmtId="167" fontId="29" fillId="0" borderId="0" xfId="16" applyNumberFormat="1"/>
    <xf numFmtId="165" fontId="0" fillId="0" borderId="0" xfId="0" applyNumberFormat="1" applyAlignment="1">
      <alignment horizontal="center"/>
    </xf>
    <xf numFmtId="0" fontId="29" fillId="22" borderId="0" xfId="16" applyFill="1"/>
    <xf numFmtId="10" fontId="29" fillId="22" borderId="0" xfId="16" applyNumberFormat="1" applyFill="1" applyAlignment="1">
      <alignment horizontal="right"/>
    </xf>
    <xf numFmtId="39" fontId="29" fillId="22" borderId="46" xfId="16" applyNumberFormat="1" applyFill="1" applyBorder="1"/>
    <xf numFmtId="0" fontId="29" fillId="22" borderId="45" xfId="16" applyFill="1" applyBorder="1"/>
    <xf numFmtId="0" fontId="95" fillId="22" borderId="0" xfId="16" applyFont="1" applyFill="1"/>
    <xf numFmtId="10" fontId="14" fillId="3" borderId="0" xfId="18" applyNumberFormat="1" applyFont="1" applyFill="1" applyAlignment="1" applyProtection="1">
      <alignment horizontal="center"/>
    </xf>
    <xf numFmtId="10" fontId="56" fillId="4" borderId="0" xfId="18" applyNumberFormat="1" applyFont="1" applyFill="1" applyBorder="1" applyAlignment="1">
      <alignment horizontal="center" vertical="center" wrapText="1"/>
    </xf>
    <xf numFmtId="164" fontId="0" fillId="0" borderId="0" xfId="0" applyNumberFormat="1"/>
    <xf numFmtId="191" fontId="0" fillId="0" borderId="0" xfId="0" applyNumberFormat="1"/>
    <xf numFmtId="10" fontId="0" fillId="14" borderId="1" xfId="18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  <xf numFmtId="0" fontId="82" fillId="0" borderId="0" xfId="0" applyFont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0" fontId="0" fillId="0" borderId="4" xfId="0" applyBorder="1" applyAlignment="1">
      <alignment wrapText="1"/>
    </xf>
    <xf numFmtId="169" fontId="0" fillId="0" borderId="1" xfId="6" applyFont="1" applyBorder="1" applyAlignment="1">
      <alignment horizontal="center" wrapText="1"/>
    </xf>
    <xf numFmtId="169" fontId="0" fillId="0" borderId="1" xfId="6" applyFont="1" applyBorder="1" applyAlignment="1">
      <alignment wrapText="1"/>
    </xf>
    <xf numFmtId="169" fontId="0" fillId="0" borderId="1" xfId="0" applyNumberFormat="1" applyBorder="1" applyAlignment="1">
      <alignment wrapText="1"/>
    </xf>
    <xf numFmtId="0" fontId="17" fillId="0" borderId="0" xfId="0" applyFont="1" applyAlignment="1">
      <alignment horizontal="center" vertical="center"/>
    </xf>
    <xf numFmtId="44" fontId="0" fillId="0" borderId="0" xfId="0" applyNumberFormat="1"/>
    <xf numFmtId="192" fontId="29" fillId="0" borderId="45" xfId="16" applyNumberFormat="1" applyBorder="1"/>
    <xf numFmtId="193" fontId="0" fillId="0" borderId="0" xfId="6" applyNumberFormat="1" applyFont="1"/>
    <xf numFmtId="194" fontId="0" fillId="0" borderId="0" xfId="0" applyNumberFormat="1"/>
    <xf numFmtId="44" fontId="29" fillId="0" borderId="0" xfId="16" applyNumberFormat="1"/>
    <xf numFmtId="0" fontId="96" fillId="0" borderId="0" xfId="0" applyFont="1" applyAlignment="1">
      <alignment horizontal="justify" vertical="center"/>
    </xf>
    <xf numFmtId="0" fontId="85" fillId="0" borderId="0" xfId="0" applyFont="1" applyAlignment="1">
      <alignment horizontal="justify" vertical="center"/>
    </xf>
    <xf numFmtId="0" fontId="97" fillId="0" borderId="0" xfId="0" applyFont="1" applyAlignment="1">
      <alignment horizontal="left" vertical="center" indent="4"/>
    </xf>
    <xf numFmtId="0" fontId="87" fillId="0" borderId="0" xfId="0" applyFont="1" applyAlignment="1">
      <alignment vertical="center"/>
    </xf>
    <xf numFmtId="0" fontId="90" fillId="0" borderId="0" xfId="0" applyFont="1" applyAlignment="1">
      <alignment horizontal="justify" vertical="center"/>
    </xf>
    <xf numFmtId="0" fontId="90" fillId="0" borderId="0" xfId="0" applyFont="1" applyAlignment="1">
      <alignment horizontal="left" vertical="center" indent="4"/>
    </xf>
    <xf numFmtId="195" fontId="0" fillId="0" borderId="0" xfId="0" applyNumberFormat="1" applyAlignment="1">
      <alignment horizontal="center"/>
    </xf>
    <xf numFmtId="2" fontId="0" fillId="0" borderId="1" xfId="0" applyNumberFormat="1" applyBorder="1"/>
    <xf numFmtId="195" fontId="0" fillId="0" borderId="1" xfId="0" applyNumberFormat="1" applyBorder="1"/>
    <xf numFmtId="195" fontId="0" fillId="0" borderId="0" xfId="0" applyNumberFormat="1"/>
    <xf numFmtId="39" fontId="2" fillId="0" borderId="0" xfId="16" applyNumberFormat="1" applyFont="1"/>
    <xf numFmtId="0" fontId="98" fillId="0" borderId="0" xfId="0" applyFont="1" applyAlignment="1">
      <alignment vertical="center"/>
    </xf>
    <xf numFmtId="44" fontId="29" fillId="0" borderId="45" xfId="16" applyNumberFormat="1" applyBorder="1"/>
    <xf numFmtId="174" fontId="0" fillId="0" borderId="1" xfId="0" applyNumberFormat="1" applyBorder="1"/>
    <xf numFmtId="165" fontId="0" fillId="0" borderId="1" xfId="0" applyNumberFormat="1" applyBorder="1"/>
    <xf numFmtId="169" fontId="0" fillId="0" borderId="1" xfId="6" applyFont="1" applyBorder="1"/>
    <xf numFmtId="169" fontId="0" fillId="0" borderId="1" xfId="0" applyNumberFormat="1" applyBorder="1"/>
    <xf numFmtId="164" fontId="0" fillId="0" borderId="1" xfId="0" applyNumberFormat="1" applyBorder="1"/>
    <xf numFmtId="0" fontId="1" fillId="8" borderId="1" xfId="0" applyFont="1" applyFill="1" applyBorder="1"/>
    <xf numFmtId="39" fontId="14" fillId="7" borderId="46" xfId="17" applyNumberFormat="1" applyFont="1" applyFill="1" applyBorder="1"/>
    <xf numFmtId="0" fontId="1" fillId="0" borderId="1" xfId="0" applyFont="1" applyBorder="1"/>
    <xf numFmtId="0" fontId="1" fillId="0" borderId="0" xfId="0" applyFont="1"/>
    <xf numFmtId="3" fontId="2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25" fillId="0" borderId="0" xfId="0" applyNumberFormat="1" applyFont="1" applyAlignment="1">
      <alignment horizontal="left" vertical="center"/>
    </xf>
    <xf numFmtId="1" fontId="25" fillId="0" borderId="0" xfId="3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left" vertical="center"/>
    </xf>
    <xf numFmtId="170" fontId="25" fillId="0" borderId="0" xfId="3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180" fontId="14" fillId="0" borderId="23" xfId="3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3" fontId="38" fillId="0" borderId="2" xfId="0" applyNumberFormat="1" applyFont="1" applyBorder="1" applyAlignment="1">
      <alignment horizontal="center" vertical="center"/>
    </xf>
    <xf numFmtId="3" fontId="38" fillId="0" borderId="5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169" fontId="25" fillId="0" borderId="0" xfId="6" applyFont="1" applyBorder="1" applyAlignment="1">
      <alignment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169" fontId="25" fillId="0" borderId="1" xfId="6" applyFont="1" applyFill="1" applyBorder="1" applyAlignment="1">
      <alignment vertical="center" wrapText="1"/>
    </xf>
    <xf numFmtId="169" fontId="21" fillId="0" borderId="0" xfId="6" applyFont="1" applyFill="1" applyBorder="1" applyAlignment="1">
      <alignment vertical="center" wrapText="1"/>
    </xf>
    <xf numFmtId="10" fontId="21" fillId="0" borderId="1" xfId="18" applyNumberFormat="1" applyFont="1" applyFill="1" applyBorder="1" applyAlignment="1">
      <alignment horizontal="center" vertical="center" wrapText="1"/>
    </xf>
    <xf numFmtId="10" fontId="21" fillId="0" borderId="0" xfId="18" applyNumberFormat="1" applyFont="1" applyFill="1" applyBorder="1" applyAlignment="1">
      <alignment horizontal="center" vertical="center" wrapText="1"/>
    </xf>
    <xf numFmtId="169" fontId="25" fillId="0" borderId="1" xfId="6" applyFont="1" applyBorder="1" applyAlignment="1">
      <alignment vertical="center"/>
    </xf>
    <xf numFmtId="169" fontId="35" fillId="6" borderId="1" xfId="6" applyFont="1" applyFill="1" applyBorder="1" applyAlignment="1">
      <alignment vertical="center" wrapText="1"/>
    </xf>
    <xf numFmtId="169" fontId="35" fillId="0" borderId="0" xfId="6" applyFont="1" applyFill="1" applyBorder="1" applyAlignment="1">
      <alignment vertical="center" wrapText="1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 vertical="center"/>
    </xf>
    <xf numFmtId="174" fontId="1" fillId="0" borderId="0" xfId="0" applyNumberFormat="1" applyFont="1"/>
    <xf numFmtId="169" fontId="1" fillId="0" borderId="0" xfId="6" applyFont="1"/>
    <xf numFmtId="0" fontId="4" fillId="2" borderId="10" xfId="0" applyFont="1" applyFill="1" applyBorder="1" applyAlignment="1">
      <alignment horizontal="right" vertical="center"/>
    </xf>
    <xf numFmtId="10" fontId="14" fillId="2" borderId="18" xfId="0" applyNumberFormat="1" applyFont="1" applyFill="1" applyBorder="1" applyAlignment="1">
      <alignment horizontal="center" vertical="center"/>
    </xf>
    <xf numFmtId="9" fontId="1" fillId="0" borderId="0" xfId="18" applyFont="1"/>
    <xf numFmtId="169" fontId="1" fillId="0" borderId="1" xfId="6" applyFont="1" applyBorder="1"/>
    <xf numFmtId="10" fontId="1" fillId="0" borderId="0" xfId="0" applyNumberFormat="1" applyFont="1"/>
    <xf numFmtId="44" fontId="1" fillId="0" borderId="0" xfId="0" applyNumberFormat="1" applyFont="1"/>
    <xf numFmtId="0" fontId="1" fillId="2" borderId="3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69" fontId="1" fillId="2" borderId="3" xfId="6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/>
    </xf>
    <xf numFmtId="10" fontId="1" fillId="0" borderId="0" xfId="18" applyNumberFormat="1" applyFont="1" applyAlignment="1">
      <alignment horizontal="center"/>
    </xf>
    <xf numFmtId="0" fontId="1" fillId="2" borderId="0" xfId="0" applyFont="1" applyFill="1"/>
    <xf numFmtId="173" fontId="1" fillId="0" borderId="22" xfId="0" applyNumberFormat="1" applyFont="1" applyBorder="1"/>
    <xf numFmtId="178" fontId="1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9" xfId="0" applyFont="1" applyFill="1" applyBorder="1" applyAlignment="1">
      <alignment horizontal="right"/>
    </xf>
    <xf numFmtId="49" fontId="4" fillId="2" borderId="10" xfId="0" applyNumberFormat="1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0" fontId="27" fillId="7" borderId="1" xfId="0" applyFont="1" applyFill="1" applyBorder="1" applyAlignment="1">
      <alignment horizontal="center"/>
    </xf>
    <xf numFmtId="10" fontId="4" fillId="2" borderId="0" xfId="18" applyNumberFormat="1" applyFont="1" applyFill="1" applyBorder="1" applyAlignment="1">
      <alignment horizontal="center"/>
    </xf>
    <xf numFmtId="1" fontId="1" fillId="13" borderId="1" xfId="0" applyNumberFormat="1" applyFont="1" applyFill="1" applyBorder="1"/>
    <xf numFmtId="0" fontId="1" fillId="0" borderId="0" xfId="0" applyFont="1" applyAlignment="1">
      <alignment vertical="center" wrapText="1"/>
    </xf>
    <xf numFmtId="169" fontId="1" fillId="0" borderId="0" xfId="6" applyFont="1" applyFill="1" applyBorder="1" applyAlignment="1">
      <alignment vertical="center" wrapText="1"/>
    </xf>
    <xf numFmtId="0" fontId="1" fillId="0" borderId="45" xfId="16" applyFont="1" applyBorder="1"/>
    <xf numFmtId="10" fontId="14" fillId="0" borderId="0" xfId="18" applyNumberFormat="1" applyFont="1" applyAlignment="1">
      <alignment horizontal="center"/>
    </xf>
    <xf numFmtId="169" fontId="14" fillId="0" borderId="0" xfId="6" applyFont="1"/>
    <xf numFmtId="9" fontId="14" fillId="7" borderId="0" xfId="18" applyFont="1" applyFill="1" applyAlignment="1" applyProtection="1">
      <alignment horizontal="center"/>
    </xf>
    <xf numFmtId="169" fontId="14" fillId="0" borderId="46" xfId="6" applyFont="1" applyBorder="1"/>
    <xf numFmtId="0" fontId="1" fillId="0" borderId="0" xfId="16" applyFont="1"/>
    <xf numFmtId="10" fontId="14" fillId="0" borderId="0" xfId="18" applyNumberFormat="1" applyFont="1" applyAlignment="1">
      <alignment horizontal="right"/>
    </xf>
    <xf numFmtId="169" fontId="14" fillId="0" borderId="45" xfId="6" applyFont="1" applyBorder="1"/>
    <xf numFmtId="10" fontId="14" fillId="0" borderId="0" xfId="18" applyNumberFormat="1" applyFont="1" applyProtection="1"/>
    <xf numFmtId="10" fontId="14" fillId="0" borderId="0" xfId="18" applyNumberFormat="1" applyFont="1" applyBorder="1" applyProtection="1"/>
    <xf numFmtId="169" fontId="14" fillId="22" borderId="0" xfId="6" applyFont="1" applyFill="1"/>
    <xf numFmtId="10" fontId="14" fillId="0" borderId="0" xfId="18" applyNumberFormat="1" applyFont="1"/>
    <xf numFmtId="184" fontId="14" fillId="3" borderId="0" xfId="12" applyFont="1" applyFill="1" applyProtection="1"/>
    <xf numFmtId="10" fontId="14" fillId="3" borderId="0" xfId="18" applyNumberFormat="1" applyFont="1" applyFill="1" applyProtection="1"/>
    <xf numFmtId="184" fontId="14" fillId="0" borderId="1" xfId="12" applyFont="1" applyBorder="1"/>
    <xf numFmtId="186" fontId="44" fillId="7" borderId="1" xfId="0" applyNumberFormat="1" applyFont="1" applyFill="1" applyBorder="1" applyAlignment="1" applyProtection="1">
      <alignment horizontal="center"/>
      <protection hidden="1"/>
    </xf>
    <xf numFmtId="186" fontId="1" fillId="0" borderId="1" xfId="0" applyNumberFormat="1" applyFont="1" applyBorder="1" applyAlignment="1">
      <alignment vertical="center"/>
    </xf>
    <xf numFmtId="186" fontId="1" fillId="0" borderId="1" xfId="0" applyNumberFormat="1" applyFont="1" applyBorder="1" applyAlignment="1">
      <alignment horizontal="center" vertical="center"/>
    </xf>
    <xf numFmtId="186" fontId="2" fillId="0" borderId="0" xfId="0" applyNumberFormat="1" applyFont="1"/>
    <xf numFmtId="186" fontId="1" fillId="0" borderId="0" xfId="0" applyNumberFormat="1" applyFont="1" applyAlignment="1">
      <alignment vertical="center"/>
    </xf>
    <xf numFmtId="186" fontId="1" fillId="0" borderId="0" xfId="0" applyNumberFormat="1" applyFont="1" applyAlignment="1">
      <alignment horizontal="center" vertical="center"/>
    </xf>
    <xf numFmtId="0" fontId="4" fillId="2" borderId="37" xfId="0" applyFont="1" applyFill="1" applyBorder="1" applyAlignment="1">
      <alignment horizontal="left" indent="1"/>
    </xf>
    <xf numFmtId="0" fontId="4" fillId="2" borderId="38" xfId="0" applyFont="1" applyFill="1" applyBorder="1" applyAlignment="1">
      <alignment horizontal="left" indent="1"/>
    </xf>
    <xf numFmtId="0" fontId="1" fillId="13" borderId="1" xfId="0" applyFont="1" applyFill="1" applyBorder="1" applyAlignment="1">
      <alignment vertical="center"/>
    </xf>
    <xf numFmtId="173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justify"/>
    </xf>
    <xf numFmtId="0" fontId="4" fillId="2" borderId="0" xfId="0" applyFont="1" applyFill="1"/>
    <xf numFmtId="0" fontId="4" fillId="2" borderId="10" xfId="0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69" fontId="8" fillId="0" borderId="0" xfId="6" applyFont="1" applyAlignment="1">
      <alignment horizontal="center"/>
    </xf>
    <xf numFmtId="188" fontId="8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169" fontId="1" fillId="0" borderId="1" xfId="6" applyFont="1" applyBorder="1" applyAlignment="1">
      <alignment horizontal="center" wrapText="1"/>
    </xf>
    <xf numFmtId="44" fontId="4" fillId="0" borderId="0" xfId="0" applyNumberFormat="1" applyFont="1" applyAlignment="1">
      <alignment horizontal="center"/>
    </xf>
    <xf numFmtId="169" fontId="42" fillId="0" borderId="0" xfId="6" applyFont="1" applyAlignment="1">
      <alignment horizontal="center" vertical="center" wrapText="1"/>
    </xf>
    <xf numFmtId="3" fontId="1" fillId="8" borderId="1" xfId="0" applyNumberFormat="1" applyFont="1" applyFill="1" applyBorder="1"/>
    <xf numFmtId="164" fontId="1" fillId="0" borderId="0" xfId="0" applyNumberFormat="1" applyFont="1"/>
    <xf numFmtId="39" fontId="29" fillId="0" borderId="0" xfId="16" applyNumberFormat="1" applyAlignment="1">
      <alignment vertical="center" wrapText="1"/>
    </xf>
    <xf numFmtId="0" fontId="6" fillId="2" borderId="2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7" fillId="9" borderId="4" xfId="0" applyFont="1" applyFill="1" applyBorder="1" applyAlignment="1">
      <alignment horizontal="right"/>
    </xf>
    <xf numFmtId="0" fontId="27" fillId="9" borderId="22" xfId="0" applyFont="1" applyFill="1" applyBorder="1" applyAlignment="1">
      <alignment horizontal="right"/>
    </xf>
    <xf numFmtId="0" fontId="27" fillId="9" borderId="3" xfId="0" applyFont="1" applyFill="1" applyBorder="1" applyAlignment="1">
      <alignment horizontal="right"/>
    </xf>
    <xf numFmtId="0" fontId="17" fillId="0" borderId="0" xfId="0" applyFont="1" applyAlignment="1">
      <alignment horizontal="center" vertical="center" wrapText="1"/>
    </xf>
    <xf numFmtId="0" fontId="0" fillId="9" borderId="4" xfId="0" applyFill="1" applyBorder="1" applyAlignment="1">
      <alignment horizontal="left"/>
    </xf>
    <xf numFmtId="0" fontId="0" fillId="9" borderId="22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46" fillId="9" borderId="4" xfId="0" applyFont="1" applyFill="1" applyBorder="1" applyAlignment="1">
      <alignment horizontal="center" vertical="center"/>
    </xf>
    <xf numFmtId="0" fontId="46" fillId="9" borderId="3" xfId="0" applyFont="1" applyFill="1" applyBorder="1" applyAlignment="1">
      <alignment horizontal="center" vertical="center"/>
    </xf>
    <xf numFmtId="186" fontId="5" fillId="6" borderId="4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86" fontId="63" fillId="7" borderId="4" xfId="0" applyNumberFormat="1" applyFont="1" applyFill="1" applyBorder="1" applyAlignment="1">
      <alignment horizontal="center" vertical="center"/>
    </xf>
    <xf numFmtId="186" fontId="63" fillId="7" borderId="22" xfId="0" applyNumberFormat="1" applyFont="1" applyFill="1" applyBorder="1" applyAlignment="1">
      <alignment horizontal="center" vertical="center"/>
    </xf>
    <xf numFmtId="186" fontId="63" fillId="7" borderId="3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10" fontId="2" fillId="6" borderId="1" xfId="18" applyNumberFormat="1" applyFont="1" applyFill="1" applyBorder="1" applyAlignment="1">
      <alignment horizontal="center" vertical="center" wrapText="1"/>
    </xf>
    <xf numFmtId="0" fontId="46" fillId="17" borderId="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186" fontId="5" fillId="8" borderId="4" xfId="0" applyNumberFormat="1" applyFont="1" applyFill="1" applyBorder="1" applyAlignment="1">
      <alignment horizontal="center" vertical="center"/>
    </xf>
    <xf numFmtId="186" fontId="5" fillId="8" borderId="22" xfId="0" applyNumberFormat="1" applyFont="1" applyFill="1" applyBorder="1" applyAlignment="1">
      <alignment horizontal="center" vertical="center"/>
    </xf>
    <xf numFmtId="186" fontId="5" fillId="8" borderId="3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center"/>
    </xf>
    <xf numFmtId="0" fontId="4" fillId="20" borderId="1" xfId="0" applyFont="1" applyFill="1" applyBorder="1" applyAlignment="1">
      <alignment horizontal="center" vertical="center"/>
    </xf>
    <xf numFmtId="0" fontId="0" fillId="9" borderId="4" xfId="0" applyFill="1" applyBorder="1" applyAlignment="1">
      <alignment vertical="center" wrapText="1"/>
    </xf>
    <xf numFmtId="0" fontId="0" fillId="9" borderId="22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3" fontId="59" fillId="7" borderId="4" xfId="0" applyNumberFormat="1" applyFont="1" applyFill="1" applyBorder="1" applyAlignment="1">
      <alignment horizontal="center" vertical="center"/>
    </xf>
    <xf numFmtId="3" fontId="59" fillId="7" borderId="22" xfId="0" applyNumberFormat="1" applyFont="1" applyFill="1" applyBorder="1" applyAlignment="1">
      <alignment horizontal="center" vertical="center"/>
    </xf>
    <xf numFmtId="3" fontId="59" fillId="7" borderId="3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4" fillId="8" borderId="4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3" fontId="0" fillId="0" borderId="22" xfId="0" applyNumberFormat="1" applyBorder="1" applyAlignment="1">
      <alignment horizontal="right"/>
    </xf>
    <xf numFmtId="0" fontId="45" fillId="0" borderId="0" xfId="0" applyFont="1"/>
    <xf numFmtId="0" fontId="45" fillId="0" borderId="52" xfId="0" applyFont="1" applyBorder="1"/>
    <xf numFmtId="0" fontId="4" fillId="9" borderId="4" xfId="0" applyFont="1" applyFill="1" applyBorder="1" applyAlignment="1">
      <alignment horizontal="left"/>
    </xf>
    <xf numFmtId="0" fontId="4" fillId="9" borderId="2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0" fillId="9" borderId="55" xfId="0" applyFill="1" applyBorder="1" applyAlignment="1">
      <alignment horizontal="justify" vertical="top"/>
    </xf>
    <xf numFmtId="0" fontId="0" fillId="9" borderId="42" xfId="0" applyFill="1" applyBorder="1" applyAlignment="1">
      <alignment horizontal="justify" vertical="top"/>
    </xf>
    <xf numFmtId="0" fontId="0" fillId="9" borderId="51" xfId="0" applyFill="1" applyBorder="1" applyAlignment="1">
      <alignment horizontal="justify" vertical="top"/>
    </xf>
    <xf numFmtId="0" fontId="0" fillId="9" borderId="37" xfId="0" applyFill="1" applyBorder="1" applyAlignment="1">
      <alignment horizontal="justify" vertical="top"/>
    </xf>
    <xf numFmtId="0" fontId="0" fillId="9" borderId="0" xfId="0" applyFill="1" applyAlignment="1">
      <alignment horizontal="justify" vertical="top"/>
    </xf>
    <xf numFmtId="0" fontId="0" fillId="9" borderId="52" xfId="0" applyFill="1" applyBorder="1" applyAlignment="1">
      <alignment horizontal="justify" vertical="top"/>
    </xf>
    <xf numFmtId="0" fontId="0" fillId="9" borderId="56" xfId="0" applyFill="1" applyBorder="1" applyAlignment="1">
      <alignment horizontal="justify" vertical="top"/>
    </xf>
    <xf numFmtId="0" fontId="0" fillId="9" borderId="31" xfId="0" applyFill="1" applyBorder="1" applyAlignment="1">
      <alignment horizontal="justify" vertical="top"/>
    </xf>
    <xf numFmtId="0" fontId="0" fillId="9" borderId="57" xfId="0" applyFill="1" applyBorder="1" applyAlignment="1">
      <alignment horizontal="justify" vertical="top"/>
    </xf>
    <xf numFmtId="0" fontId="45" fillId="0" borderId="0" xfId="0" applyFont="1" applyAlignment="1">
      <alignment horizontal="left"/>
    </xf>
    <xf numFmtId="0" fontId="4" fillId="9" borderId="1" xfId="0" applyFont="1" applyFill="1" applyBorder="1" applyAlignment="1">
      <alignment horizontal="center"/>
    </xf>
    <xf numFmtId="15" fontId="4" fillId="9" borderId="4" xfId="0" applyNumberFormat="1" applyFont="1" applyFill="1" applyBorder="1" applyAlignment="1">
      <alignment horizontal="center"/>
    </xf>
    <xf numFmtId="15" fontId="4" fillId="9" borderId="22" xfId="0" applyNumberFormat="1" applyFont="1" applyFill="1" applyBorder="1" applyAlignment="1">
      <alignment horizontal="center"/>
    </xf>
    <xf numFmtId="15" fontId="4" fillId="9" borderId="3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7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" fillId="9" borderId="4" xfId="0" applyFont="1" applyFill="1" applyBorder="1" applyAlignment="1">
      <alignment horizontal="left" vertical="center" wrapText="1"/>
    </xf>
    <xf numFmtId="0" fontId="4" fillId="9" borderId="22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center"/>
    </xf>
    <xf numFmtId="0" fontId="14" fillId="0" borderId="31" xfId="0" applyFont="1" applyBorder="1" applyAlignment="1">
      <alignment horizontal="left"/>
    </xf>
    <xf numFmtId="3" fontId="25" fillId="0" borderId="0" xfId="0" applyNumberFormat="1" applyFont="1" applyAlignment="1">
      <alignment horizontal="left" vertical="center" wrapText="1"/>
    </xf>
    <xf numFmtId="3" fontId="25" fillId="0" borderId="52" xfId="0" applyNumberFormat="1" applyFont="1" applyBorder="1" applyAlignment="1">
      <alignment horizontal="left" vertical="center" wrapText="1"/>
    </xf>
    <xf numFmtId="3" fontId="65" fillId="0" borderId="0" xfId="0" applyNumberFormat="1" applyFont="1" applyAlignment="1">
      <alignment horizontal="right" vertical="center"/>
    </xf>
    <xf numFmtId="3" fontId="25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10" fontId="21" fillId="0" borderId="0" xfId="0" applyNumberFormat="1" applyFont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186" fontId="79" fillId="14" borderId="4" xfId="6" applyNumberFormat="1" applyFont="1" applyFill="1" applyBorder="1" applyAlignment="1">
      <alignment horizontal="center" vertical="center" wrapText="1"/>
    </xf>
    <xf numFmtId="186" fontId="79" fillId="14" borderId="22" xfId="6" applyNumberFormat="1" applyFont="1" applyFill="1" applyBorder="1" applyAlignment="1">
      <alignment horizontal="center" vertical="center" wrapText="1"/>
    </xf>
    <xf numFmtId="186" fontId="79" fillId="14" borderId="3" xfId="6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1" fillId="0" borderId="0" xfId="0" applyNumberFormat="1" applyFont="1" applyAlignment="1" applyProtection="1">
      <alignment horizontal="center" vertical="center"/>
      <protection locked="0"/>
    </xf>
    <xf numFmtId="10" fontId="21" fillId="0" borderId="52" xfId="0" applyNumberFormat="1" applyFont="1" applyBorder="1" applyAlignment="1" applyProtection="1">
      <alignment horizontal="center" vertical="center"/>
      <protection locked="0"/>
    </xf>
    <xf numFmtId="10" fontId="78" fillId="19" borderId="4" xfId="18" applyNumberFormat="1" applyFont="1" applyFill="1" applyBorder="1" applyAlignment="1">
      <alignment horizontal="center" vertical="center"/>
    </xf>
    <xf numFmtId="10" fontId="78" fillId="19" borderId="3" xfId="18" applyNumberFormat="1" applyFont="1" applyFill="1" applyBorder="1" applyAlignment="1">
      <alignment horizontal="center" vertical="center"/>
    </xf>
    <xf numFmtId="178" fontId="76" fillId="7" borderId="4" xfId="0" applyNumberFormat="1" applyFont="1" applyFill="1" applyBorder="1" applyAlignment="1">
      <alignment horizontal="center" vertical="center"/>
    </xf>
    <xf numFmtId="178" fontId="76" fillId="7" borderId="3" xfId="0" applyNumberFormat="1" applyFont="1" applyFill="1" applyBorder="1" applyAlignment="1">
      <alignment horizontal="center" vertical="center"/>
    </xf>
    <xf numFmtId="3" fontId="62" fillId="7" borderId="4" xfId="0" applyNumberFormat="1" applyFont="1" applyFill="1" applyBorder="1" applyAlignment="1">
      <alignment horizontal="center" vertical="center"/>
    </xf>
    <xf numFmtId="3" fontId="62" fillId="7" borderId="3" xfId="0" applyNumberFormat="1" applyFont="1" applyFill="1" applyBorder="1" applyAlignment="1">
      <alignment horizontal="center" vertical="center"/>
    </xf>
    <xf numFmtId="0" fontId="43" fillId="2" borderId="58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 wrapText="1"/>
    </xf>
    <xf numFmtId="3" fontId="25" fillId="0" borderId="0" xfId="0" applyNumberFormat="1" applyFont="1" applyAlignment="1">
      <alignment horizontal="center"/>
    </xf>
    <xf numFmtId="3" fontId="25" fillId="8" borderId="1" xfId="0" applyNumberFormat="1" applyFont="1" applyFill="1" applyBorder="1" applyAlignment="1">
      <alignment horizontal="center" vertical="center"/>
    </xf>
    <xf numFmtId="0" fontId="40" fillId="6" borderId="60" xfId="0" applyFont="1" applyFill="1" applyBorder="1" applyAlignment="1">
      <alignment horizontal="center" vertical="center" wrapText="1"/>
    </xf>
    <xf numFmtId="0" fontId="40" fillId="6" borderId="29" xfId="0" applyFont="1" applyFill="1" applyBorder="1" applyAlignment="1">
      <alignment horizontal="center" vertical="center" wrapText="1"/>
    </xf>
    <xf numFmtId="0" fontId="40" fillId="6" borderId="61" xfId="0" applyFont="1" applyFill="1" applyBorder="1" applyAlignment="1">
      <alignment horizontal="center" vertical="center" wrapText="1"/>
    </xf>
    <xf numFmtId="0" fontId="4" fillId="6" borderId="37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52" xfId="0" applyFont="1" applyFill="1" applyBorder="1" applyAlignment="1">
      <alignment horizontal="center" vertical="center" wrapText="1"/>
    </xf>
    <xf numFmtId="0" fontId="4" fillId="6" borderId="62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6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52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64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10" fontId="69" fillId="7" borderId="14" xfId="0" applyNumberFormat="1" applyFont="1" applyFill="1" applyBorder="1" applyAlignment="1">
      <alignment horizontal="center" vertical="center" wrapText="1"/>
    </xf>
    <xf numFmtId="0" fontId="69" fillId="7" borderId="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/>
    </xf>
    <xf numFmtId="0" fontId="7" fillId="2" borderId="22" xfId="0" applyFont="1" applyFill="1" applyBorder="1" applyAlignment="1">
      <alignment horizontal="left"/>
    </xf>
    <xf numFmtId="0" fontId="7" fillId="2" borderId="4" xfId="0" applyFont="1" applyFill="1" applyBorder="1"/>
    <xf numFmtId="0" fontId="7" fillId="2" borderId="22" xfId="0" applyFont="1" applyFill="1" applyBorder="1"/>
    <xf numFmtId="0" fontId="0" fillId="2" borderId="55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171" fontId="2" fillId="6" borderId="14" xfId="0" applyNumberFormat="1" applyFont="1" applyFill="1" applyBorder="1" applyAlignment="1">
      <alignment horizontal="center" vertical="center" wrapText="1"/>
    </xf>
    <xf numFmtId="171" fontId="2" fillId="6" borderId="15" xfId="0" applyNumberFormat="1" applyFont="1" applyFill="1" applyBorder="1" applyAlignment="1">
      <alignment horizontal="center" vertical="center" wrapText="1"/>
    </xf>
    <xf numFmtId="171" fontId="2" fillId="6" borderId="7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2" fillId="7" borderId="1" xfId="16" applyFont="1" applyFill="1" applyBorder="1" applyAlignment="1">
      <alignment horizontal="center"/>
    </xf>
    <xf numFmtId="184" fontId="18" fillId="7" borderId="1" xfId="12" applyFont="1" applyFill="1" applyBorder="1" applyAlignment="1">
      <alignment horizontal="center"/>
    </xf>
    <xf numFmtId="0" fontId="2" fillId="12" borderId="14" xfId="16" applyFont="1" applyFill="1" applyBorder="1" applyAlignment="1">
      <alignment horizontal="center" vertical="center" wrapText="1"/>
    </xf>
    <xf numFmtId="0" fontId="2" fillId="12" borderId="15" xfId="16" applyFont="1" applyFill="1" applyBorder="1" applyAlignment="1">
      <alignment horizontal="center" vertical="center" wrapText="1"/>
    </xf>
    <xf numFmtId="3" fontId="2" fillId="6" borderId="17" xfId="16" applyNumberFormat="1" applyFont="1" applyFill="1" applyBorder="1" applyAlignment="1">
      <alignment horizontal="center"/>
    </xf>
    <xf numFmtId="0" fontId="2" fillId="6" borderId="26" xfId="16" applyFont="1" applyFill="1" applyBorder="1" applyAlignment="1">
      <alignment horizontal="center"/>
    </xf>
    <xf numFmtId="0" fontId="2" fillId="6" borderId="17" xfId="16" applyFont="1" applyFill="1" applyBorder="1" applyAlignment="1">
      <alignment horizontal="center"/>
    </xf>
    <xf numFmtId="0" fontId="17" fillId="0" borderId="0" xfId="16" applyFont="1" applyAlignment="1">
      <alignment horizontal="center" vertical="center" wrapText="1"/>
    </xf>
    <xf numFmtId="0" fontId="31" fillId="0" borderId="0" xfId="16" applyFont="1" applyAlignment="1">
      <alignment horizontal="center"/>
    </xf>
    <xf numFmtId="0" fontId="31" fillId="0" borderId="8" xfId="16" applyFont="1" applyBorder="1" applyAlignment="1">
      <alignment horizontal="center"/>
    </xf>
    <xf numFmtId="0" fontId="29" fillId="0" borderId="14" xfId="16" applyBorder="1" applyAlignment="1">
      <alignment horizontal="center" vertical="center" wrapText="1"/>
    </xf>
    <xf numFmtId="0" fontId="29" fillId="0" borderId="15" xfId="16" applyBorder="1" applyAlignment="1">
      <alignment horizontal="center" vertical="center" wrapText="1"/>
    </xf>
    <xf numFmtId="0" fontId="29" fillId="0" borderId="7" xfId="16" applyBorder="1" applyAlignment="1">
      <alignment horizontal="center" vertical="center" wrapText="1"/>
    </xf>
    <xf numFmtId="0" fontId="2" fillId="12" borderId="7" xfId="16" applyFont="1" applyFill="1" applyBorder="1" applyAlignment="1">
      <alignment horizontal="center" vertical="center" wrapText="1"/>
    </xf>
    <xf numFmtId="0" fontId="60" fillId="0" borderId="1" xfId="16" applyFont="1" applyBorder="1" applyAlignment="1">
      <alignment horizontal="center"/>
    </xf>
    <xf numFmtId="0" fontId="6" fillId="0" borderId="1" xfId="16" applyFont="1" applyBorder="1" applyAlignment="1">
      <alignment horizontal="center"/>
    </xf>
    <xf numFmtId="175" fontId="6" fillId="0" borderId="1" xfId="16" applyNumberFormat="1" applyFont="1" applyBorder="1" applyAlignment="1">
      <alignment horizontal="center" vertical="center"/>
    </xf>
    <xf numFmtId="0" fontId="71" fillId="0" borderId="55" xfId="0" applyFont="1" applyBorder="1" applyAlignment="1">
      <alignment horizontal="center" vertical="center" wrapText="1"/>
    </xf>
    <xf numFmtId="0" fontId="71" fillId="0" borderId="42" xfId="0" applyFont="1" applyBorder="1" applyAlignment="1">
      <alignment horizontal="center" vertical="center" wrapText="1"/>
    </xf>
    <xf numFmtId="0" fontId="71" fillId="0" borderId="51" xfId="0" applyFont="1" applyBorder="1" applyAlignment="1">
      <alignment horizontal="center" vertical="center" wrapText="1"/>
    </xf>
    <xf numFmtId="0" fontId="71" fillId="0" borderId="37" xfId="0" applyFont="1" applyBorder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1" fillId="0" borderId="52" xfId="0" applyFont="1" applyBorder="1" applyAlignment="1">
      <alignment horizontal="center" vertical="center" wrapText="1"/>
    </xf>
    <xf numFmtId="0" fontId="2" fillId="0" borderId="0" xfId="16" applyFont="1" applyAlignment="1">
      <alignment horizontal="right"/>
    </xf>
    <xf numFmtId="0" fontId="4" fillId="0" borderId="0" xfId="0" applyFont="1" applyAlignment="1">
      <alignment horizontal="center"/>
    </xf>
    <xf numFmtId="2" fontId="2" fillId="0" borderId="20" xfId="0" applyNumberFormat="1" applyFont="1" applyBorder="1" applyAlignment="1">
      <alignment horizontal="center" vertical="center" textRotation="90" wrapText="1"/>
    </xf>
    <xf numFmtId="2" fontId="2" fillId="0" borderId="19" xfId="0" applyNumberFormat="1" applyFont="1" applyBorder="1" applyAlignment="1">
      <alignment horizontal="center" vertical="center" textRotation="90" wrapText="1"/>
    </xf>
    <xf numFmtId="0" fontId="2" fillId="3" borderId="20" xfId="0" applyFont="1" applyFill="1" applyBorder="1" applyAlignment="1">
      <alignment horizontal="center" vertical="center" textRotation="90" wrapText="1"/>
    </xf>
    <xf numFmtId="0" fontId="2" fillId="3" borderId="19" xfId="0" applyFont="1" applyFill="1" applyBorder="1" applyAlignment="1">
      <alignment horizontal="center" vertical="center" textRotation="90" wrapText="1"/>
    </xf>
    <xf numFmtId="0" fontId="2" fillId="18" borderId="20" xfId="0" applyFont="1" applyFill="1" applyBorder="1" applyAlignment="1">
      <alignment horizontal="center" vertical="center" textRotation="90" wrapText="1"/>
    </xf>
    <xf numFmtId="0" fontId="2" fillId="18" borderId="19" xfId="0" applyFont="1" applyFill="1" applyBorder="1" applyAlignment="1">
      <alignment horizontal="center" vertical="center" textRotation="90" wrapText="1"/>
    </xf>
    <xf numFmtId="0" fontId="2" fillId="6" borderId="20" xfId="0" applyFont="1" applyFill="1" applyBorder="1" applyAlignment="1">
      <alignment horizontal="center" vertical="center" textRotation="90" wrapText="1"/>
    </xf>
    <xf numFmtId="0" fontId="2" fillId="6" borderId="19" xfId="0" applyFont="1" applyFill="1" applyBorder="1" applyAlignment="1">
      <alignment horizontal="center" vertical="center" textRotation="90" wrapText="1"/>
    </xf>
    <xf numFmtId="0" fontId="2" fillId="9" borderId="1" xfId="0" applyFont="1" applyFill="1" applyBorder="1" applyAlignment="1">
      <alignment horizontal="center" vertical="center" textRotation="90" wrapText="1"/>
    </xf>
    <xf numFmtId="0" fontId="62" fillId="7" borderId="20" xfId="0" applyFont="1" applyFill="1" applyBorder="1" applyAlignment="1">
      <alignment horizontal="center" vertical="center" textRotation="90" wrapText="1"/>
    </xf>
    <xf numFmtId="0" fontId="62" fillId="7" borderId="19" xfId="0" applyFont="1" applyFill="1" applyBorder="1" applyAlignment="1">
      <alignment horizontal="center" vertical="center" textRotation="90" wrapText="1"/>
    </xf>
    <xf numFmtId="0" fontId="2" fillId="9" borderId="20" xfId="0" applyFont="1" applyFill="1" applyBorder="1" applyAlignment="1">
      <alignment horizontal="center" vertical="center" textRotation="90" wrapText="1"/>
    </xf>
    <xf numFmtId="0" fontId="2" fillId="9" borderId="19" xfId="0" applyFont="1" applyFill="1" applyBorder="1" applyAlignment="1">
      <alignment horizontal="center" vertical="center" textRotation="90" wrapText="1"/>
    </xf>
    <xf numFmtId="0" fontId="19" fillId="9" borderId="20" xfId="0" applyFont="1" applyFill="1" applyBorder="1" applyAlignment="1">
      <alignment horizontal="center" vertical="center" textRotation="90" wrapText="1"/>
    </xf>
    <xf numFmtId="0" fontId="19" fillId="9" borderId="19" xfId="0" applyFont="1" applyFill="1" applyBorder="1" applyAlignment="1">
      <alignment horizontal="center" vertical="center" textRotation="90" wrapText="1"/>
    </xf>
    <xf numFmtId="0" fontId="2" fillId="9" borderId="20" xfId="0" applyFont="1" applyFill="1" applyBorder="1" applyAlignment="1">
      <alignment horizontal="center" vertical="center" textRotation="90"/>
    </xf>
    <xf numFmtId="0" fontId="2" fillId="9" borderId="19" xfId="0" applyFont="1" applyFill="1" applyBorder="1" applyAlignment="1">
      <alignment horizontal="center" vertical="center" textRotation="90"/>
    </xf>
    <xf numFmtId="2" fontId="2" fillId="12" borderId="20" xfId="0" applyNumberFormat="1" applyFont="1" applyFill="1" applyBorder="1" applyAlignment="1">
      <alignment horizontal="center" vertical="center" textRotation="90" wrapText="1"/>
    </xf>
    <xf numFmtId="2" fontId="2" fillId="12" borderId="19" xfId="0" applyNumberFormat="1" applyFont="1" applyFill="1" applyBorder="1" applyAlignment="1">
      <alignment horizontal="center" vertical="center" textRotation="90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71" fontId="5" fillId="10" borderId="28" xfId="0" applyNumberFormat="1" applyFont="1" applyFill="1" applyBorder="1" applyAlignment="1">
      <alignment horizontal="center"/>
    </xf>
    <xf numFmtId="0" fontId="5" fillId="10" borderId="68" xfId="0" applyFont="1" applyFill="1" applyBorder="1" applyAlignment="1">
      <alignment horizontal="center"/>
    </xf>
    <xf numFmtId="171" fontId="5" fillId="10" borderId="69" xfId="0" applyNumberFormat="1" applyFont="1" applyFill="1" applyBorder="1" applyAlignment="1">
      <alignment horizontal="center"/>
    </xf>
    <xf numFmtId="0" fontId="5" fillId="10" borderId="70" xfId="0" applyFont="1" applyFill="1" applyBorder="1" applyAlignment="1">
      <alignment horizontal="center"/>
    </xf>
    <xf numFmtId="171" fontId="5" fillId="10" borderId="71" xfId="0" applyNumberFormat="1" applyFont="1" applyFill="1" applyBorder="1" applyAlignment="1">
      <alignment horizontal="center"/>
    </xf>
    <xf numFmtId="0" fontId="5" fillId="10" borderId="72" xfId="0" applyFont="1" applyFill="1" applyBorder="1" applyAlignment="1">
      <alignment horizontal="center"/>
    </xf>
    <xf numFmtId="169" fontId="0" fillId="2" borderId="0" xfId="6" applyFont="1" applyFill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169" fontId="5" fillId="0" borderId="0" xfId="6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169" fontId="4" fillId="0" borderId="1" xfId="6" applyFont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171" fontId="39" fillId="12" borderId="74" xfId="0" applyNumberFormat="1" applyFont="1" applyFill="1" applyBorder="1" applyAlignment="1">
      <alignment horizontal="center"/>
    </xf>
    <xf numFmtId="171" fontId="39" fillId="12" borderId="7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2" borderId="75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73" xfId="0" applyFill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2" borderId="53" xfId="0" applyFill="1" applyBorder="1" applyAlignment="1">
      <alignment horizontal="center" vertical="center" wrapText="1"/>
    </xf>
  </cellXfs>
  <cellStyles count="22">
    <cellStyle name="Currency_Itemizado Revamping Sanitarios 11 SIDERCA" xfId="1" xr:uid="{00000000-0005-0000-0000-000000000000}"/>
    <cellStyle name="Euro" xfId="2" xr:uid="{00000000-0005-0000-0000-000001000000}"/>
    <cellStyle name="Millares" xfId="3" builtinId="3"/>
    <cellStyle name="Millares 2" xfId="4" xr:uid="{00000000-0005-0000-0000-000003000000}"/>
    <cellStyle name="Millares 3" xfId="5" xr:uid="{00000000-0005-0000-0000-000004000000}"/>
    <cellStyle name="Moneda" xfId="6" builtinId="4"/>
    <cellStyle name="Moneda [0]" xfId="7" builtinId="7"/>
    <cellStyle name="Moneda 2" xfId="8" xr:uid="{00000000-0005-0000-0000-000007000000}"/>
    <cellStyle name="Moneda 3" xfId="9" xr:uid="{00000000-0005-0000-0000-000008000000}"/>
    <cellStyle name="Moneda 4" xfId="10" xr:uid="{00000000-0005-0000-0000-000009000000}"/>
    <cellStyle name="Moneda_ATANOR_COSTEO_BOLSONES_ROS_800KG_ALQ._R2" xfId="11" xr:uid="{00000000-0005-0000-0000-00000A000000}"/>
    <cellStyle name="Moneda_COSTEO MANO DE OBRA UOCRA" xfId="12" xr:uid="{00000000-0005-0000-0000-00000B000000}"/>
    <cellStyle name="No-definido" xfId="13" xr:uid="{00000000-0005-0000-0000-00000C000000}"/>
    <cellStyle name="Normal" xfId="0" builtinId="0"/>
    <cellStyle name="Normal 2" xfId="14" xr:uid="{00000000-0005-0000-0000-00000E000000}"/>
    <cellStyle name="Normal 3" xfId="15" xr:uid="{00000000-0005-0000-0000-00000F000000}"/>
    <cellStyle name="Normal_COSTEO MANO DE OBRA UOCRA" xfId="16" xr:uid="{00000000-0005-0000-0000-000010000000}"/>
    <cellStyle name="Normal_LN - ANEXO IV - APERTURA DE COSTOS 2005" xfId="17" xr:uid="{00000000-0005-0000-0000-000011000000}"/>
    <cellStyle name="Porcentaje" xfId="18" builtinId="5"/>
    <cellStyle name="Porcentaje 2" xfId="19" xr:uid="{00000000-0005-0000-0000-000013000000}"/>
    <cellStyle name="PSChar" xfId="20" xr:uid="{00000000-0005-0000-0000-000014000000}"/>
    <cellStyle name="PSInt" xfId="21" xr:uid="{00000000-0005-0000-0000-000015000000}"/>
  </cellStyles>
  <dxfs count="1">
    <dxf>
      <font>
        <b/>
        <i val="0"/>
        <condense val="0"/>
        <extend val="0"/>
        <u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38100</xdr:rowOff>
    </xdr:from>
    <xdr:to>
      <xdr:col>6</xdr:col>
      <xdr:colOff>45720</xdr:colOff>
      <xdr:row>4</xdr:row>
      <xdr:rowOff>15240</xdr:rowOff>
    </xdr:to>
    <xdr:grpSp>
      <xdr:nvGrpSpPr>
        <xdr:cNvPr id="52290" name="Group 3">
          <a:extLst>
            <a:ext uri="{FF2B5EF4-FFF2-40B4-BE49-F238E27FC236}">
              <a16:creationId xmlns:a16="http://schemas.microsoft.com/office/drawing/2014/main" id="{329A96F9-7BC3-02CE-45B4-44AA7252D96B}"/>
            </a:ext>
          </a:extLst>
        </xdr:cNvPr>
        <xdr:cNvGrpSpPr>
          <a:grpSpLocks/>
        </xdr:cNvGrpSpPr>
      </xdr:nvGrpSpPr>
      <xdr:grpSpPr bwMode="auto">
        <a:xfrm>
          <a:off x="289560" y="38100"/>
          <a:ext cx="998220" cy="777240"/>
          <a:chOff x="2064" y="2448"/>
          <a:chExt cx="1620" cy="1290"/>
        </a:xfrm>
      </xdr:grpSpPr>
      <xdr:pic>
        <xdr:nvPicPr>
          <xdr:cNvPr id="52291" name="Picture 4">
            <a:extLst>
              <a:ext uri="{FF2B5EF4-FFF2-40B4-BE49-F238E27FC236}">
                <a16:creationId xmlns:a16="http://schemas.microsoft.com/office/drawing/2014/main" id="{585B7287-BC8B-89C7-B369-11DB9C46D1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64" y="2448"/>
            <a:ext cx="1620" cy="12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2292" name="Rectangle 5">
            <a:extLst>
              <a:ext uri="{FF2B5EF4-FFF2-40B4-BE49-F238E27FC236}">
                <a16:creationId xmlns:a16="http://schemas.microsoft.com/office/drawing/2014/main" id="{8DA6FADE-DB26-94A8-450D-CB207C56CD98}"/>
              </a:ext>
            </a:extLst>
          </xdr:cNvPr>
          <xdr:cNvSpPr>
            <a:spLocks noChangeArrowheads="1"/>
          </xdr:cNvSpPr>
        </xdr:nvSpPr>
        <xdr:spPr bwMode="auto">
          <a:xfrm>
            <a:off x="2160" y="3516"/>
            <a:ext cx="1440" cy="18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Gesti&#243;n%20Comercial%20IMA\Mis%20Documentos\Desarrollo%20de%20Negocios%20MERCOSUR\Desarrollo%20de%20Negocios%20Argentina\Siderca\MOA%20Electromecanica%20%20-%20LC%20324473\SIDERCA%20Campana-Apertura%20MOA%20Electromec&#225;n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CANCE"/>
      <sheetName val="PREVISIÓN DE VENTA"/>
      <sheetName val="PREVISIÓN DE COSTO"/>
      <sheetName val="Apertura de Salarios"/>
      <sheetName val="RESUMEN"/>
      <sheetName val="Siderca- OFICIAL NIVEL 1"/>
      <sheetName val="Siderca- OFICIAL NIVEL 2"/>
      <sheetName val="Siderca- PUNTERO"/>
      <sheetName val="Siderca- CAPATAZ"/>
      <sheetName val="COSTO FIJOS E INDIRECTOS"/>
      <sheetName val="TABLA DE NOMBRES"/>
      <sheetName val="INVERS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K73"/>
  <sheetViews>
    <sheetView showGridLines="0" view="pageBreakPreview" topLeftCell="A39" zoomScaleNormal="100" zoomScaleSheetLayoutView="100" workbookViewId="0">
      <selection activeCell="AD46" sqref="AD46"/>
    </sheetView>
  </sheetViews>
  <sheetFormatPr baseColWidth="10" defaultColWidth="11.44140625" defaultRowHeight="13.2" x14ac:dyDescent="0.25"/>
  <cols>
    <col min="1" max="1" width="2.5546875" customWidth="1"/>
    <col min="2" max="33" width="3.109375" customWidth="1"/>
    <col min="34" max="34" width="12.33203125" bestFit="1" customWidth="1"/>
    <col min="35" max="35" width="17.5546875" style="28" customWidth="1"/>
    <col min="36" max="36" width="11.88671875" bestFit="1" customWidth="1"/>
    <col min="37" max="37" width="12.33203125" bestFit="1" customWidth="1"/>
  </cols>
  <sheetData>
    <row r="1" spans="2:33" ht="15.75" customHeight="1" x14ac:dyDescent="0.25">
      <c r="B1" s="678" t="s">
        <v>0</v>
      </c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678"/>
    </row>
    <row r="2" spans="2:33" ht="15.75" customHeight="1" x14ac:dyDescent="0.25"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8"/>
      <c r="P2" s="678"/>
      <c r="Q2" s="678"/>
      <c r="R2" s="678"/>
      <c r="S2" s="678"/>
      <c r="T2" s="678"/>
      <c r="U2" s="678"/>
      <c r="V2" s="678"/>
      <c r="W2" s="678"/>
      <c r="X2" s="678"/>
      <c r="Y2" s="678"/>
      <c r="Z2" s="678"/>
      <c r="AA2" s="678"/>
      <c r="AB2" s="678"/>
      <c r="AC2" s="678"/>
      <c r="AD2" s="678"/>
      <c r="AE2" s="678"/>
      <c r="AF2" s="678"/>
      <c r="AG2" s="678"/>
    </row>
    <row r="3" spans="2:33" ht="18.600000000000001" x14ac:dyDescent="0.45">
      <c r="B3" s="237"/>
      <c r="C3" s="237"/>
      <c r="D3" s="237"/>
      <c r="E3" s="237"/>
      <c r="F3" s="237"/>
      <c r="G3" s="237"/>
      <c r="H3" s="237"/>
      <c r="I3" s="679" t="s">
        <v>1</v>
      </c>
      <c r="J3" s="680"/>
      <c r="K3" s="680"/>
      <c r="L3" s="680"/>
      <c r="M3" s="680"/>
      <c r="N3" s="680"/>
      <c r="O3" s="680"/>
      <c r="P3" s="680"/>
      <c r="Q3" s="680"/>
      <c r="R3" s="680"/>
      <c r="S3" s="680"/>
      <c r="T3" s="680"/>
      <c r="U3" s="680"/>
      <c r="V3" s="680"/>
      <c r="W3" s="680"/>
      <c r="X3" s="680"/>
      <c r="Y3" s="680"/>
      <c r="Z3" s="680"/>
      <c r="AA3" s="680"/>
      <c r="AB3" s="680"/>
      <c r="AC3" s="680"/>
      <c r="AD3" s="680"/>
      <c r="AE3" s="680"/>
      <c r="AF3" s="680"/>
      <c r="AG3" s="237"/>
    </row>
    <row r="5" spans="2:33" ht="34.5" customHeight="1" x14ac:dyDescent="0.25">
      <c r="B5" s="670" t="s">
        <v>2</v>
      </c>
      <c r="C5" s="670"/>
      <c r="D5" s="670"/>
      <c r="E5" s="670"/>
      <c r="F5" s="670"/>
      <c r="G5" s="670"/>
      <c r="H5" s="670"/>
      <c r="I5" s="681" t="s">
        <v>854</v>
      </c>
      <c r="J5" s="682"/>
      <c r="K5" s="682"/>
      <c r="L5" s="682"/>
      <c r="M5" s="682"/>
      <c r="N5" s="682"/>
      <c r="O5" s="682"/>
      <c r="P5" s="682"/>
      <c r="Q5" s="682"/>
      <c r="R5" s="682"/>
      <c r="S5" s="682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682"/>
      <c r="AF5" s="682"/>
      <c r="AG5" s="683"/>
    </row>
    <row r="6" spans="2:33" ht="4.5" customHeight="1" x14ac:dyDescent="0.25">
      <c r="B6" s="238"/>
      <c r="C6" s="238"/>
      <c r="D6" s="238"/>
      <c r="E6" s="238"/>
      <c r="F6" s="238"/>
      <c r="G6" s="238"/>
      <c r="H6" s="238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AD6" s="169"/>
    </row>
    <row r="7" spans="2:33" x14ac:dyDescent="0.25">
      <c r="B7" s="670" t="s">
        <v>3</v>
      </c>
      <c r="C7" s="670"/>
      <c r="D7" s="670"/>
      <c r="E7" s="670"/>
      <c r="F7" s="670"/>
      <c r="G7" s="670"/>
      <c r="H7" s="670"/>
      <c r="I7" s="658" t="s">
        <v>855</v>
      </c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660"/>
      <c r="AA7" s="656" t="s">
        <v>4</v>
      </c>
      <c r="AB7" s="656"/>
      <c r="AC7" s="657"/>
      <c r="AD7" s="672">
        <v>46199</v>
      </c>
      <c r="AE7" s="673"/>
      <c r="AF7" s="673"/>
      <c r="AG7" s="674"/>
    </row>
    <row r="8" spans="2:33" ht="4.5" customHeight="1" x14ac:dyDescent="0.25">
      <c r="B8" s="238"/>
      <c r="C8" s="238"/>
      <c r="D8" s="238"/>
      <c r="E8" s="238"/>
      <c r="F8" s="238"/>
      <c r="G8" s="238"/>
      <c r="H8" s="238"/>
      <c r="AA8" s="240"/>
      <c r="AB8" s="240"/>
      <c r="AC8" s="240"/>
      <c r="AD8" s="244"/>
      <c r="AE8" s="244"/>
      <c r="AF8" s="244"/>
      <c r="AG8" s="244"/>
    </row>
    <row r="9" spans="2:33" x14ac:dyDescent="0.25">
      <c r="B9" s="670" t="s">
        <v>5</v>
      </c>
      <c r="C9" s="670"/>
      <c r="D9" s="670"/>
      <c r="E9" s="670"/>
      <c r="F9" s="670"/>
      <c r="G9" s="670"/>
      <c r="H9" s="670"/>
      <c r="I9" s="658" t="s">
        <v>839</v>
      </c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60"/>
      <c r="AA9" s="656" t="s">
        <v>6</v>
      </c>
      <c r="AB9" s="656"/>
      <c r="AC9" s="656"/>
      <c r="AD9" s="675"/>
      <c r="AE9" s="676"/>
      <c r="AF9" s="676"/>
      <c r="AG9" s="677"/>
    </row>
    <row r="10" spans="2:33" ht="4.5" customHeight="1" x14ac:dyDescent="0.25">
      <c r="B10" s="238"/>
      <c r="C10" s="238"/>
      <c r="D10" s="238"/>
      <c r="E10" s="238"/>
      <c r="F10" s="238"/>
      <c r="G10" s="238"/>
      <c r="H10" s="238"/>
      <c r="X10" s="121"/>
      <c r="Y10" s="121"/>
      <c r="Z10" s="121"/>
      <c r="AA10" s="95"/>
      <c r="AB10" s="95"/>
      <c r="AC10" s="95"/>
      <c r="AD10" s="95"/>
    </row>
    <row r="11" spans="2:33" x14ac:dyDescent="0.25">
      <c r="B11" s="670" t="s">
        <v>7</v>
      </c>
      <c r="C11" s="670"/>
      <c r="D11" s="670"/>
      <c r="E11" s="670"/>
      <c r="F11" s="670"/>
      <c r="G11" s="670"/>
      <c r="H11" s="670"/>
      <c r="I11" s="658"/>
      <c r="J11" s="659"/>
      <c r="K11" s="659"/>
      <c r="L11" s="659"/>
      <c r="M11" s="659"/>
      <c r="N11" s="659"/>
      <c r="O11" s="659"/>
      <c r="P11" s="659"/>
      <c r="Q11" s="659"/>
      <c r="R11" s="659"/>
      <c r="S11" s="660"/>
      <c r="U11" s="240" t="s">
        <v>8</v>
      </c>
      <c r="X11" s="658"/>
      <c r="Y11" s="659"/>
      <c r="Z11" s="659"/>
      <c r="AA11" s="659"/>
      <c r="AB11" s="659"/>
      <c r="AC11" s="659"/>
      <c r="AD11" s="659"/>
      <c r="AE11" s="659"/>
      <c r="AF11" s="659"/>
      <c r="AG11" s="660"/>
    </row>
    <row r="12" spans="2:33" ht="4.5" customHeight="1" x14ac:dyDescent="0.25"/>
    <row r="13" spans="2:33" x14ac:dyDescent="0.25">
      <c r="B13" s="670" t="s">
        <v>9</v>
      </c>
      <c r="C13" s="670"/>
      <c r="D13" s="670"/>
      <c r="E13" s="670"/>
      <c r="F13" s="670"/>
      <c r="G13" s="670"/>
      <c r="H13" s="670"/>
      <c r="I13" s="625" t="s">
        <v>10</v>
      </c>
      <c r="J13" s="626"/>
      <c r="K13" s="626"/>
      <c r="L13" s="626"/>
      <c r="M13" s="626"/>
      <c r="N13" s="626"/>
      <c r="O13" s="626"/>
      <c r="P13" s="626"/>
      <c r="Q13" s="626"/>
      <c r="R13" s="626"/>
      <c r="S13" s="627"/>
      <c r="U13" s="240" t="s">
        <v>11</v>
      </c>
      <c r="X13" s="625" t="s">
        <v>10</v>
      </c>
      <c r="Y13" s="626"/>
      <c r="Z13" s="626"/>
      <c r="AA13" s="626"/>
      <c r="AB13" s="626"/>
      <c r="AC13" s="626"/>
      <c r="AD13" s="626"/>
      <c r="AE13" s="626"/>
      <c r="AF13" s="626"/>
      <c r="AG13" s="627"/>
    </row>
    <row r="14" spans="2:33" x14ac:dyDescent="0.25">
      <c r="B14" s="670" t="s">
        <v>12</v>
      </c>
      <c r="C14" s="670"/>
      <c r="D14" s="670"/>
      <c r="E14" s="670"/>
      <c r="F14" s="670"/>
      <c r="G14" s="670"/>
      <c r="H14" s="670"/>
      <c r="I14" s="625"/>
      <c r="J14" s="626"/>
      <c r="K14" s="626"/>
      <c r="L14" s="626"/>
      <c r="M14" s="626"/>
      <c r="N14" s="626"/>
      <c r="O14" s="626"/>
      <c r="P14" s="626"/>
      <c r="Q14" s="626"/>
      <c r="R14" s="626"/>
      <c r="S14" s="627"/>
      <c r="U14" s="240"/>
      <c r="X14" s="625"/>
      <c r="Y14" s="626"/>
      <c r="Z14" s="626"/>
      <c r="AA14" s="626"/>
      <c r="AB14" s="626"/>
      <c r="AC14" s="626"/>
      <c r="AD14" s="626"/>
      <c r="AE14" s="626"/>
      <c r="AF14" s="626"/>
      <c r="AG14" s="627"/>
    </row>
    <row r="16" spans="2:33" x14ac:dyDescent="0.25">
      <c r="B16" s="670" t="s">
        <v>13</v>
      </c>
      <c r="C16" s="670"/>
      <c r="D16" s="670"/>
      <c r="E16" s="670"/>
      <c r="F16" s="670"/>
      <c r="G16" s="670"/>
      <c r="H16" s="670"/>
      <c r="I16" s="671" t="s">
        <v>856</v>
      </c>
      <c r="J16" s="671"/>
      <c r="K16" s="671"/>
      <c r="L16" s="671"/>
      <c r="M16" s="671"/>
      <c r="N16" s="671"/>
      <c r="O16" s="671"/>
      <c r="P16" s="671"/>
      <c r="Q16" s="671"/>
      <c r="R16" s="671"/>
      <c r="S16" s="671"/>
      <c r="T16" s="671"/>
      <c r="U16" s="671"/>
      <c r="V16" s="671"/>
      <c r="W16" s="671"/>
      <c r="X16" s="671"/>
      <c r="Y16" s="671"/>
      <c r="Z16" s="671"/>
      <c r="AA16" s="671"/>
      <c r="AB16" s="671"/>
      <c r="AC16" s="671"/>
      <c r="AD16" s="671"/>
      <c r="AE16" s="671"/>
      <c r="AF16" s="671"/>
      <c r="AG16" s="671"/>
    </row>
    <row r="18" spans="2:33" x14ac:dyDescent="0.25">
      <c r="B18" s="241" t="s">
        <v>14</v>
      </c>
    </row>
    <row r="19" spans="2:33" x14ac:dyDescent="0.25">
      <c r="B19" s="62"/>
    </row>
    <row r="20" spans="2:33" x14ac:dyDescent="0.25">
      <c r="B20" s="661" t="s">
        <v>857</v>
      </c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62"/>
      <c r="AB20" s="662"/>
      <c r="AC20" s="662"/>
      <c r="AD20" s="662"/>
      <c r="AE20" s="662"/>
      <c r="AF20" s="662"/>
      <c r="AG20" s="663"/>
    </row>
    <row r="21" spans="2:33" x14ac:dyDescent="0.25">
      <c r="B21" s="664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  <c r="AB21" s="665"/>
      <c r="AC21" s="665"/>
      <c r="AD21" s="665"/>
      <c r="AE21" s="665"/>
      <c r="AF21" s="665"/>
      <c r="AG21" s="666"/>
    </row>
    <row r="22" spans="2:33" x14ac:dyDescent="0.25">
      <c r="B22" s="664"/>
      <c r="C22" s="665"/>
      <c r="D22" s="665"/>
      <c r="E22" s="665"/>
      <c r="F22" s="665"/>
      <c r="G22" s="665"/>
      <c r="H22" s="665"/>
      <c r="I22" s="665"/>
      <c r="J22" s="665"/>
      <c r="K22" s="665"/>
      <c r="L22" s="665"/>
      <c r="M22" s="665"/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  <c r="AB22" s="665"/>
      <c r="AC22" s="665"/>
      <c r="AD22" s="665"/>
      <c r="AE22" s="665"/>
      <c r="AF22" s="665"/>
      <c r="AG22" s="666"/>
    </row>
    <row r="23" spans="2:33" x14ac:dyDescent="0.25">
      <c r="B23" s="667"/>
      <c r="C23" s="668"/>
      <c r="D23" s="668"/>
      <c r="E23" s="668"/>
      <c r="F23" s="668"/>
      <c r="G23" s="668"/>
      <c r="H23" s="668"/>
      <c r="I23" s="668"/>
      <c r="J23" s="668"/>
      <c r="K23" s="668"/>
      <c r="L23" s="668"/>
      <c r="M23" s="668"/>
      <c r="N23" s="668"/>
      <c r="O23" s="668"/>
      <c r="P23" s="668"/>
      <c r="Q23" s="668"/>
      <c r="R23" s="668"/>
      <c r="S23" s="668"/>
      <c r="T23" s="668"/>
      <c r="U23" s="668"/>
      <c r="V23" s="668"/>
      <c r="W23" s="668"/>
      <c r="X23" s="668"/>
      <c r="Y23" s="668"/>
      <c r="Z23" s="668"/>
      <c r="AA23" s="668"/>
      <c r="AB23" s="668"/>
      <c r="AC23" s="668"/>
      <c r="AD23" s="668"/>
      <c r="AE23" s="668"/>
      <c r="AF23" s="668"/>
      <c r="AG23" s="669"/>
    </row>
    <row r="25" spans="2:33" x14ac:dyDescent="0.25">
      <c r="B25" s="241" t="s">
        <v>15</v>
      </c>
    </row>
    <row r="26" spans="2:33" x14ac:dyDescent="0.25">
      <c r="J26" s="240" t="s">
        <v>16</v>
      </c>
      <c r="L26" s="240" t="s">
        <v>17</v>
      </c>
      <c r="N26" s="644" t="s">
        <v>18</v>
      </c>
      <c r="O26" s="644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4"/>
      <c r="AA26" s="644"/>
      <c r="AB26" s="644"/>
      <c r="AC26" s="644"/>
      <c r="AD26" s="644"/>
      <c r="AE26" s="644"/>
      <c r="AF26" s="644"/>
      <c r="AG26" s="644"/>
    </row>
    <row r="27" spans="2:33" x14ac:dyDescent="0.25">
      <c r="B27" s="240" t="s">
        <v>19</v>
      </c>
      <c r="J27" s="242"/>
      <c r="K27" s="28"/>
      <c r="L27" s="242"/>
      <c r="N27" s="625"/>
      <c r="O27" s="626"/>
      <c r="P27" s="626"/>
      <c r="Q27" s="626"/>
      <c r="R27" s="626"/>
      <c r="S27" s="626"/>
      <c r="T27" s="626"/>
      <c r="U27" s="626"/>
      <c r="V27" s="626"/>
      <c r="W27" s="626"/>
      <c r="X27" s="626"/>
      <c r="Y27" s="626"/>
      <c r="Z27" s="626"/>
      <c r="AA27" s="626"/>
      <c r="AB27" s="626"/>
      <c r="AC27" s="626"/>
      <c r="AD27" s="626"/>
      <c r="AE27" s="626"/>
      <c r="AF27" s="626"/>
      <c r="AG27" s="627"/>
    </row>
    <row r="28" spans="2:33" x14ac:dyDescent="0.25">
      <c r="B28" s="240" t="s">
        <v>20</v>
      </c>
      <c r="J28" s="242"/>
      <c r="K28" s="28"/>
      <c r="L28" s="242"/>
      <c r="N28" s="625"/>
      <c r="O28" s="626"/>
      <c r="P28" s="626"/>
      <c r="Q28" s="626"/>
      <c r="R28" s="626"/>
      <c r="S28" s="626"/>
      <c r="T28" s="626"/>
      <c r="U28" s="626"/>
      <c r="V28" s="626"/>
      <c r="W28" s="626"/>
      <c r="X28" s="626"/>
      <c r="Y28" s="626"/>
      <c r="Z28" s="626"/>
      <c r="AA28" s="626"/>
      <c r="AB28" s="626"/>
      <c r="AC28" s="626"/>
      <c r="AD28" s="626"/>
      <c r="AE28" s="626"/>
      <c r="AF28" s="626"/>
      <c r="AG28" s="627"/>
    </row>
    <row r="29" spans="2:33" x14ac:dyDescent="0.25">
      <c r="B29" s="240" t="s">
        <v>21</v>
      </c>
      <c r="J29" s="242" t="s">
        <v>22</v>
      </c>
      <c r="K29" s="28"/>
      <c r="L29" s="242"/>
      <c r="N29" s="625" t="s">
        <v>23</v>
      </c>
      <c r="O29" s="626"/>
      <c r="P29" s="626"/>
      <c r="Q29" s="626"/>
      <c r="R29" s="626"/>
      <c r="S29" s="626"/>
      <c r="T29" s="626"/>
      <c r="U29" s="626"/>
      <c r="V29" s="626"/>
      <c r="W29" s="626"/>
      <c r="X29" s="626"/>
      <c r="Y29" s="626"/>
      <c r="Z29" s="626"/>
      <c r="AA29" s="626"/>
      <c r="AB29" s="626"/>
      <c r="AC29" s="626"/>
      <c r="AD29" s="626"/>
      <c r="AE29" s="626"/>
      <c r="AF29" s="626"/>
      <c r="AG29" s="627"/>
    </row>
    <row r="31" spans="2:33" x14ac:dyDescent="0.25">
      <c r="B31" s="241" t="s">
        <v>24</v>
      </c>
    </row>
    <row r="32" spans="2:33" x14ac:dyDescent="0.25">
      <c r="J32" s="240" t="s">
        <v>16</v>
      </c>
      <c r="L32" s="240" t="s">
        <v>17</v>
      </c>
      <c r="N32" s="644" t="s">
        <v>18</v>
      </c>
      <c r="O32" s="644"/>
      <c r="P32" s="644"/>
      <c r="Q32" s="644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  <c r="AC32" s="644"/>
      <c r="AD32" s="644"/>
      <c r="AE32" s="644"/>
      <c r="AF32" s="644"/>
      <c r="AG32" s="644"/>
    </row>
    <row r="33" spans="2:33" x14ac:dyDescent="0.25">
      <c r="B33" s="240" t="s">
        <v>25</v>
      </c>
      <c r="J33" s="242" t="s">
        <v>22</v>
      </c>
      <c r="K33" s="28"/>
      <c r="L33" s="242"/>
      <c r="N33" s="625"/>
      <c r="O33" s="626"/>
      <c r="P33" s="626"/>
      <c r="Q33" s="626"/>
      <c r="R33" s="626"/>
      <c r="S33" s="626"/>
      <c r="T33" s="626"/>
      <c r="U33" s="626"/>
      <c r="V33" s="626"/>
      <c r="W33" s="626"/>
      <c r="X33" s="626"/>
      <c r="Y33" s="626"/>
      <c r="Z33" s="626"/>
      <c r="AA33" s="626"/>
      <c r="AB33" s="626"/>
      <c r="AC33" s="626"/>
      <c r="AD33" s="626"/>
      <c r="AE33" s="626"/>
      <c r="AF33" s="626"/>
      <c r="AG33" s="627"/>
    </row>
    <row r="34" spans="2:33" x14ac:dyDescent="0.25">
      <c r="B34" s="240" t="s">
        <v>26</v>
      </c>
      <c r="J34" s="242" t="s">
        <v>22</v>
      </c>
      <c r="K34" s="28"/>
      <c r="L34" s="242"/>
      <c r="N34" s="625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26"/>
      <c r="AB34" s="626"/>
      <c r="AC34" s="626"/>
      <c r="AD34" s="626"/>
      <c r="AE34" s="626"/>
      <c r="AF34" s="626"/>
      <c r="AG34" s="627"/>
    </row>
    <row r="35" spans="2:33" x14ac:dyDescent="0.25">
      <c r="B35" s="240" t="s">
        <v>27</v>
      </c>
      <c r="J35" s="242" t="s">
        <v>22</v>
      </c>
      <c r="K35" s="28"/>
      <c r="L35" s="242"/>
      <c r="N35" s="625"/>
      <c r="O35" s="626"/>
      <c r="P35" s="626"/>
      <c r="Q35" s="626"/>
      <c r="R35" s="626"/>
      <c r="S35" s="626"/>
      <c r="T35" s="626"/>
      <c r="U35" s="626"/>
      <c r="V35" s="626"/>
      <c r="W35" s="626"/>
      <c r="X35" s="626"/>
      <c r="Y35" s="626"/>
      <c r="Z35" s="626"/>
      <c r="AA35" s="626"/>
      <c r="AB35" s="626"/>
      <c r="AC35" s="626"/>
      <c r="AD35" s="626"/>
      <c r="AE35" s="626"/>
      <c r="AF35" s="626"/>
      <c r="AG35" s="627"/>
    </row>
    <row r="36" spans="2:33" x14ac:dyDescent="0.25">
      <c r="B36" s="240" t="s">
        <v>28</v>
      </c>
      <c r="J36" s="242" t="s">
        <v>22</v>
      </c>
      <c r="K36" s="28"/>
      <c r="L36" s="242"/>
      <c r="N36" s="625"/>
      <c r="O36" s="626"/>
      <c r="P36" s="626"/>
      <c r="Q36" s="626"/>
      <c r="R36" s="626"/>
      <c r="S36" s="626"/>
      <c r="T36" s="626"/>
      <c r="U36" s="626"/>
      <c r="V36" s="626"/>
      <c r="W36" s="626"/>
      <c r="X36" s="626"/>
      <c r="Y36" s="626"/>
      <c r="Z36" s="626"/>
      <c r="AA36" s="626"/>
      <c r="AB36" s="626"/>
      <c r="AC36" s="626"/>
      <c r="AD36" s="626"/>
      <c r="AE36" s="626"/>
      <c r="AF36" s="626"/>
      <c r="AG36" s="627"/>
    </row>
    <row r="38" spans="2:33" x14ac:dyDescent="0.25">
      <c r="B38" s="241" t="s">
        <v>29</v>
      </c>
    </row>
    <row r="39" spans="2:33" x14ac:dyDescent="0.25">
      <c r="J39" s="240" t="s">
        <v>16</v>
      </c>
      <c r="L39" s="240" t="s">
        <v>17</v>
      </c>
      <c r="N39" s="644" t="s">
        <v>18</v>
      </c>
      <c r="O39" s="644"/>
      <c r="P39" s="644"/>
      <c r="Q39" s="644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  <c r="AC39" s="644"/>
      <c r="AD39" s="644"/>
      <c r="AE39" s="644"/>
      <c r="AF39" s="644"/>
      <c r="AG39" s="644"/>
    </row>
    <row r="40" spans="2:33" x14ac:dyDescent="0.25">
      <c r="B40" s="240" t="s">
        <v>30</v>
      </c>
      <c r="J40" s="242" t="s">
        <v>22</v>
      </c>
      <c r="K40" s="28"/>
      <c r="L40" s="242"/>
      <c r="N40" s="625" t="s">
        <v>31</v>
      </c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26"/>
      <c r="AB40" s="626"/>
      <c r="AC40" s="626"/>
      <c r="AD40" s="626"/>
      <c r="AE40" s="626"/>
      <c r="AF40" s="626"/>
      <c r="AG40" s="627"/>
    </row>
    <row r="41" spans="2:33" x14ac:dyDescent="0.25">
      <c r="B41" s="240" t="s">
        <v>32</v>
      </c>
      <c r="J41" s="242" t="s">
        <v>22</v>
      </c>
      <c r="K41" s="28"/>
      <c r="L41" s="242"/>
      <c r="N41" s="625" t="s">
        <v>33</v>
      </c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7"/>
    </row>
    <row r="42" spans="2:33" x14ac:dyDescent="0.25">
      <c r="B42" s="240" t="s">
        <v>34</v>
      </c>
      <c r="J42" s="242" t="s">
        <v>22</v>
      </c>
      <c r="K42" s="28"/>
      <c r="L42" s="242"/>
      <c r="N42" s="625" t="s">
        <v>33</v>
      </c>
      <c r="O42" s="626"/>
      <c r="P42" s="626"/>
      <c r="Q42" s="626"/>
      <c r="R42" s="626"/>
      <c r="S42" s="626"/>
      <c r="T42" s="626"/>
      <c r="U42" s="626"/>
      <c r="V42" s="626"/>
      <c r="W42" s="626"/>
      <c r="X42" s="626"/>
      <c r="Y42" s="626"/>
      <c r="Z42" s="626"/>
      <c r="AA42" s="626"/>
      <c r="AB42" s="626"/>
      <c r="AC42" s="626"/>
      <c r="AD42" s="626"/>
      <c r="AE42" s="626"/>
      <c r="AF42" s="626"/>
      <c r="AG42" s="627"/>
    </row>
    <row r="43" spans="2:33" x14ac:dyDescent="0.25">
      <c r="B43" s="240" t="s">
        <v>35</v>
      </c>
      <c r="J43" s="242"/>
      <c r="K43" s="28"/>
      <c r="L43" s="242"/>
      <c r="N43" s="625"/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6"/>
      <c r="Z43" s="626"/>
      <c r="AA43" s="626"/>
      <c r="AB43" s="626"/>
      <c r="AC43" s="626"/>
      <c r="AD43" s="626"/>
      <c r="AE43" s="626"/>
      <c r="AF43" s="626"/>
      <c r="AG43" s="627"/>
    </row>
    <row r="44" spans="2:33" x14ac:dyDescent="0.25">
      <c r="AD44" s="640" t="s">
        <v>36</v>
      </c>
      <c r="AE44" s="640"/>
      <c r="AF44" s="640"/>
      <c r="AG44" s="640"/>
    </row>
    <row r="45" spans="2:33" x14ac:dyDescent="0.25">
      <c r="B45" s="241" t="s">
        <v>37</v>
      </c>
      <c r="N45" s="646" t="s">
        <v>858</v>
      </c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47"/>
      <c r="AB45" s="647"/>
      <c r="AC45" s="648"/>
      <c r="AD45" s="645">
        <v>2</v>
      </c>
      <c r="AE45" s="645"/>
      <c r="AF45" s="645"/>
      <c r="AG45" s="645"/>
    </row>
    <row r="47" spans="2:33" x14ac:dyDescent="0.25">
      <c r="B47" s="241" t="s">
        <v>38</v>
      </c>
    </row>
    <row r="48" spans="2:33" x14ac:dyDescent="0.25">
      <c r="B48" s="62"/>
    </row>
    <row r="49" spans="2:33" x14ac:dyDescent="0.25">
      <c r="C49" s="240"/>
      <c r="D49" s="625"/>
      <c r="E49" s="626"/>
      <c r="F49" s="626"/>
      <c r="G49" s="626"/>
      <c r="H49" s="626"/>
      <c r="I49" s="626"/>
      <c r="J49" s="626"/>
      <c r="K49" s="626"/>
      <c r="L49" s="626"/>
      <c r="M49" s="626"/>
      <c r="N49" s="626"/>
      <c r="O49" s="626"/>
      <c r="P49" s="626"/>
      <c r="Q49" s="627"/>
      <c r="S49" s="625"/>
      <c r="T49" s="626"/>
      <c r="U49" s="626"/>
      <c r="V49" s="626"/>
      <c r="W49" s="626"/>
      <c r="X49" s="626"/>
      <c r="Y49" s="626"/>
      <c r="Z49" s="626"/>
      <c r="AA49" s="626"/>
      <c r="AB49" s="626"/>
      <c r="AC49" s="626"/>
      <c r="AD49" s="626"/>
      <c r="AE49" s="626"/>
      <c r="AF49" s="627"/>
    </row>
    <row r="50" spans="2:33" x14ac:dyDescent="0.25">
      <c r="D50" s="625"/>
      <c r="E50" s="626"/>
      <c r="F50" s="626"/>
      <c r="G50" s="626"/>
      <c r="H50" s="626"/>
      <c r="I50" s="626"/>
      <c r="J50" s="626"/>
      <c r="K50" s="626"/>
      <c r="L50" s="626"/>
      <c r="M50" s="626"/>
      <c r="N50" s="626"/>
      <c r="O50" s="626"/>
      <c r="P50" s="626"/>
      <c r="Q50" s="627"/>
      <c r="S50" s="625"/>
      <c r="T50" s="626"/>
      <c r="U50" s="626"/>
      <c r="V50" s="626"/>
      <c r="W50" s="626"/>
      <c r="X50" s="626"/>
      <c r="Y50" s="626"/>
      <c r="Z50" s="626"/>
      <c r="AA50" s="626"/>
      <c r="AB50" s="626"/>
      <c r="AC50" s="626"/>
      <c r="AD50" s="626"/>
      <c r="AE50" s="626"/>
      <c r="AF50" s="627"/>
    </row>
    <row r="51" spans="2:33" x14ac:dyDescent="0.25">
      <c r="D51" s="625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7"/>
      <c r="S51" s="625"/>
      <c r="T51" s="626"/>
      <c r="U51" s="626"/>
      <c r="V51" s="626"/>
      <c r="W51" s="626"/>
      <c r="X51" s="626"/>
      <c r="Y51" s="626"/>
      <c r="Z51" s="626"/>
      <c r="AA51" s="626"/>
      <c r="AB51" s="626"/>
      <c r="AC51" s="626"/>
      <c r="AD51" s="626"/>
      <c r="AE51" s="626"/>
      <c r="AF51" s="627"/>
    </row>
    <row r="52" spans="2:33" x14ac:dyDescent="0.25">
      <c r="D52" s="625"/>
      <c r="E52" s="626"/>
      <c r="F52" s="626"/>
      <c r="G52" s="626"/>
      <c r="H52" s="626"/>
      <c r="I52" s="626"/>
      <c r="J52" s="626"/>
      <c r="K52" s="626"/>
      <c r="L52" s="626"/>
      <c r="M52" s="626"/>
      <c r="N52" s="626"/>
      <c r="O52" s="626"/>
      <c r="P52" s="626"/>
      <c r="Q52" s="627"/>
      <c r="S52" s="625"/>
      <c r="T52" s="626"/>
      <c r="U52" s="626"/>
      <c r="V52" s="626"/>
      <c r="W52" s="626"/>
      <c r="X52" s="626"/>
      <c r="Y52" s="626"/>
      <c r="Z52" s="626"/>
      <c r="AA52" s="626"/>
      <c r="AB52" s="626"/>
      <c r="AC52" s="626"/>
      <c r="AD52" s="626"/>
      <c r="AE52" s="626"/>
      <c r="AF52" s="627"/>
    </row>
    <row r="54" spans="2:33" x14ac:dyDescent="0.25">
      <c r="B54" s="241" t="s">
        <v>39</v>
      </c>
      <c r="N54" s="625" t="s">
        <v>40</v>
      </c>
      <c r="O54" s="626"/>
      <c r="P54" s="626"/>
      <c r="Q54" s="626"/>
      <c r="R54" s="626"/>
      <c r="S54" s="626"/>
      <c r="T54" s="626"/>
      <c r="U54" s="626"/>
      <c r="V54" s="626"/>
      <c r="W54" s="626"/>
      <c r="X54" s="626"/>
      <c r="Y54" s="626"/>
      <c r="Z54" s="626"/>
      <c r="AA54" s="626"/>
      <c r="AB54" s="626"/>
      <c r="AC54" s="626"/>
      <c r="AD54" s="626"/>
      <c r="AE54" s="626"/>
      <c r="AF54" s="626"/>
      <c r="AG54" s="627"/>
    </row>
    <row r="56" spans="2:33" x14ac:dyDescent="0.25">
      <c r="B56" s="241" t="s">
        <v>41</v>
      </c>
      <c r="N56" s="625" t="s">
        <v>42</v>
      </c>
      <c r="O56" s="626"/>
      <c r="P56" s="626"/>
      <c r="Q56" s="626"/>
      <c r="R56" s="626"/>
      <c r="S56" s="626"/>
      <c r="T56" s="626"/>
      <c r="U56" s="626"/>
      <c r="V56" s="626"/>
      <c r="W56" s="626"/>
      <c r="X56" s="626"/>
      <c r="Y56" s="626"/>
      <c r="Z56" s="626"/>
      <c r="AA56" s="626"/>
      <c r="AB56" s="626"/>
      <c r="AC56" s="626"/>
      <c r="AD56" s="626"/>
      <c r="AE56" s="626"/>
      <c r="AF56" s="626"/>
      <c r="AG56" s="627"/>
    </row>
    <row r="58" spans="2:33" x14ac:dyDescent="0.25">
      <c r="B58" s="241" t="s">
        <v>43</v>
      </c>
      <c r="N58" s="625" t="s">
        <v>44</v>
      </c>
      <c r="O58" s="626"/>
      <c r="P58" s="626"/>
      <c r="Q58" s="626"/>
      <c r="R58" s="626"/>
      <c r="S58" s="626"/>
      <c r="T58" s="626"/>
      <c r="U58" s="626"/>
      <c r="V58" s="626"/>
      <c r="W58" s="626"/>
      <c r="X58" s="626"/>
      <c r="Y58" s="626"/>
      <c r="Z58" s="626"/>
      <c r="AA58" s="626"/>
      <c r="AB58" s="626"/>
      <c r="AC58" s="626"/>
      <c r="AD58" s="626"/>
      <c r="AE58" s="626"/>
      <c r="AF58" s="626"/>
      <c r="AG58" s="627"/>
    </row>
    <row r="60" spans="2:33" x14ac:dyDescent="0.25">
      <c r="B60" s="241" t="s">
        <v>45</v>
      </c>
      <c r="N60" s="625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26"/>
      <c r="AB60" s="626"/>
      <c r="AC60" s="626"/>
      <c r="AD60" s="626"/>
      <c r="AE60" s="626"/>
      <c r="AF60" s="626"/>
      <c r="AG60" s="627"/>
    </row>
    <row r="62" spans="2:33" x14ac:dyDescent="0.25">
      <c r="B62" s="241" t="s">
        <v>46</v>
      </c>
      <c r="N62" s="625"/>
      <c r="O62" s="626"/>
      <c r="P62" s="626"/>
      <c r="Q62" s="626"/>
      <c r="R62" s="626"/>
      <c r="S62" s="626"/>
      <c r="T62" s="626"/>
      <c r="U62" s="626"/>
      <c r="V62" s="626"/>
      <c r="W62" s="626"/>
      <c r="X62" s="626"/>
      <c r="Y62" s="626"/>
      <c r="Z62" s="626"/>
      <c r="AA62" s="626"/>
      <c r="AB62" s="626"/>
      <c r="AC62" s="626"/>
      <c r="AD62" s="626"/>
      <c r="AE62" s="626"/>
      <c r="AF62" s="626"/>
      <c r="AG62" s="627"/>
    </row>
    <row r="64" spans="2:33" x14ac:dyDescent="0.25">
      <c r="B64" s="652"/>
      <c r="C64" s="652"/>
      <c r="D64" s="652"/>
      <c r="E64" s="652"/>
      <c r="F64" s="652"/>
      <c r="G64" s="652"/>
      <c r="H64" s="652"/>
      <c r="I64" s="652"/>
      <c r="J64" s="640"/>
      <c r="K64" s="640"/>
      <c r="L64" s="640"/>
      <c r="M64" s="640"/>
      <c r="N64" s="640"/>
      <c r="O64" s="640"/>
      <c r="P64" s="640"/>
      <c r="Q64" s="640"/>
      <c r="R64" s="640"/>
      <c r="S64" s="655"/>
      <c r="T64" s="655"/>
      <c r="U64" s="655"/>
      <c r="V64" s="655"/>
      <c r="W64" s="640"/>
      <c r="X64" s="640"/>
      <c r="Y64" s="640"/>
      <c r="Z64" s="640"/>
      <c r="AA64" s="640"/>
      <c r="AB64" s="640"/>
      <c r="AC64" s="640"/>
      <c r="AD64" s="640"/>
      <c r="AE64" s="640"/>
      <c r="AF64" s="640"/>
      <c r="AG64" s="640"/>
    </row>
    <row r="65" spans="2:37" ht="17.399999999999999" x14ac:dyDescent="0.25">
      <c r="B65" s="653" t="s">
        <v>47</v>
      </c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654"/>
      <c r="O65" s="654"/>
      <c r="P65" s="654"/>
      <c r="Q65" s="654"/>
      <c r="R65" s="654"/>
      <c r="S65" s="654"/>
      <c r="T65" s="654"/>
      <c r="U65" s="639"/>
      <c r="V65" s="639"/>
      <c r="W65" s="639"/>
      <c r="X65" s="641">
        <f>+'Sintesis Economica'!G18+'Sintesis Economica'!G20</f>
        <v>39391444.264563739</v>
      </c>
      <c r="Y65" s="642"/>
      <c r="Z65" s="642"/>
      <c r="AA65" s="642"/>
      <c r="AB65" s="642"/>
      <c r="AC65" s="642"/>
      <c r="AD65" s="642"/>
      <c r="AE65" s="643"/>
      <c r="AF65" s="628" t="s">
        <v>48</v>
      </c>
      <c r="AG65" s="629"/>
    </row>
    <row r="66" spans="2:37" ht="17.399999999999999" x14ac:dyDescent="0.25">
      <c r="B66" s="636" t="s">
        <v>49</v>
      </c>
      <c r="C66" s="637"/>
      <c r="D66" s="637"/>
      <c r="E66" s="637"/>
      <c r="F66" s="637"/>
      <c r="G66" s="637"/>
      <c r="H66" s="637"/>
      <c r="I66" s="637"/>
      <c r="J66" s="637"/>
      <c r="K66" s="637"/>
      <c r="L66" s="637"/>
      <c r="M66" s="637"/>
      <c r="N66" s="637"/>
      <c r="O66" s="637"/>
      <c r="P66" s="637"/>
      <c r="Q66" s="637"/>
      <c r="R66" s="637"/>
      <c r="S66" s="637"/>
      <c r="T66" s="637"/>
      <c r="U66" s="638">
        <f>+X66/X67</f>
        <v>0.13742393625244748</v>
      </c>
      <c r="V66" s="638"/>
      <c r="W66" s="638"/>
      <c r="X66" s="630">
        <f>+X67-X65</f>
        <v>6275768.0777582377</v>
      </c>
      <c r="Y66" s="631"/>
      <c r="Z66" s="631"/>
      <c r="AA66" s="631"/>
      <c r="AB66" s="631"/>
      <c r="AC66" s="631"/>
      <c r="AD66" s="631"/>
      <c r="AE66" s="632"/>
      <c r="AF66" s="628" t="s">
        <v>48</v>
      </c>
      <c r="AG66" s="629"/>
      <c r="AH66" s="406">
        <f>+X66/X65</f>
        <v>0.1593180497675703</v>
      </c>
      <c r="AI66" s="93" t="s">
        <v>50</v>
      </c>
      <c r="AK66" s="97"/>
    </row>
    <row r="67" spans="2:37" ht="21" x14ac:dyDescent="0.25">
      <c r="B67" s="649" t="s">
        <v>51</v>
      </c>
      <c r="C67" s="650"/>
      <c r="D67" s="650"/>
      <c r="E67" s="650"/>
      <c r="F67" s="650"/>
      <c r="G67" s="650"/>
      <c r="H67" s="650"/>
      <c r="I67" s="650"/>
      <c r="J67" s="650"/>
      <c r="K67" s="650"/>
      <c r="L67" s="650"/>
      <c r="M67" s="650"/>
      <c r="N67" s="650"/>
      <c r="O67" s="650"/>
      <c r="P67" s="650"/>
      <c r="Q67" s="650"/>
      <c r="R67" s="650"/>
      <c r="S67" s="650"/>
      <c r="T67" s="651"/>
      <c r="U67" s="639"/>
      <c r="V67" s="639"/>
      <c r="W67" s="639"/>
      <c r="X67" s="633">
        <f>+'Sintesis Economica'!G24</f>
        <v>45667212.342321977</v>
      </c>
      <c r="Y67" s="634"/>
      <c r="Z67" s="634"/>
      <c r="AA67" s="634"/>
      <c r="AB67" s="634"/>
      <c r="AC67" s="634"/>
      <c r="AD67" s="634"/>
      <c r="AE67" s="635"/>
      <c r="AF67" s="628" t="s">
        <v>48</v>
      </c>
      <c r="AG67" s="629"/>
      <c r="AH67" s="97"/>
      <c r="AI67" s="95"/>
    </row>
    <row r="69" spans="2:37" x14ac:dyDescent="0.25">
      <c r="B69" s="240" t="s">
        <v>52</v>
      </c>
    </row>
    <row r="73" spans="2:37" ht="13.8" thickBot="1" x14ac:dyDescent="0.3">
      <c r="D73" s="243"/>
      <c r="E73" s="243"/>
      <c r="F73" s="243"/>
      <c r="G73" s="243"/>
      <c r="H73" s="243"/>
      <c r="I73" s="243"/>
      <c r="K73" s="243"/>
      <c r="L73" s="243"/>
      <c r="M73" s="243"/>
      <c r="N73" s="243"/>
      <c r="O73" s="243"/>
      <c r="P73" s="243"/>
      <c r="R73" s="243"/>
      <c r="S73" s="243"/>
      <c r="T73" s="243"/>
      <c r="U73" s="243"/>
      <c r="V73" s="243"/>
      <c r="W73" s="243"/>
    </row>
  </sheetData>
  <mergeCells count="72">
    <mergeCell ref="B1:AG2"/>
    <mergeCell ref="I3:AF3"/>
    <mergeCell ref="B11:H11"/>
    <mergeCell ref="I5:AG5"/>
    <mergeCell ref="I7:Y7"/>
    <mergeCell ref="B5:H5"/>
    <mergeCell ref="B9:H9"/>
    <mergeCell ref="AA9:AC9"/>
    <mergeCell ref="B7:H7"/>
    <mergeCell ref="I11:S11"/>
    <mergeCell ref="X13:AG13"/>
    <mergeCell ref="N28:AG28"/>
    <mergeCell ref="AA7:AC7"/>
    <mergeCell ref="I9:Y9"/>
    <mergeCell ref="I13:S13"/>
    <mergeCell ref="N26:AG26"/>
    <mergeCell ref="B20:AG23"/>
    <mergeCell ref="B14:H14"/>
    <mergeCell ref="B16:H16"/>
    <mergeCell ref="I14:S14"/>
    <mergeCell ref="I16:AG16"/>
    <mergeCell ref="B13:H13"/>
    <mergeCell ref="X11:AG11"/>
    <mergeCell ref="AD7:AG7"/>
    <mergeCell ref="AD9:AG9"/>
    <mergeCell ref="X14:AG14"/>
    <mergeCell ref="B67:T67"/>
    <mergeCell ref="B64:I64"/>
    <mergeCell ref="J64:K64"/>
    <mergeCell ref="B65:T65"/>
    <mergeCell ref="W64:AG64"/>
    <mergeCell ref="O64:R64"/>
    <mergeCell ref="S64:V64"/>
    <mergeCell ref="U67:W67"/>
    <mergeCell ref="N60:AG60"/>
    <mergeCell ref="D52:Q52"/>
    <mergeCell ref="N41:AG41"/>
    <mergeCell ref="S52:AF52"/>
    <mergeCell ref="D50:Q50"/>
    <mergeCell ref="S50:AF50"/>
    <mergeCell ref="D49:Q49"/>
    <mergeCell ref="AD45:AG45"/>
    <mergeCell ref="N42:AG42"/>
    <mergeCell ref="AD44:AG44"/>
    <mergeCell ref="N45:AC45"/>
    <mergeCell ref="S51:AF51"/>
    <mergeCell ref="N43:AG43"/>
    <mergeCell ref="S49:AF49"/>
    <mergeCell ref="N40:AG40"/>
    <mergeCell ref="N32:AG32"/>
    <mergeCell ref="N33:AG33"/>
    <mergeCell ref="N34:AG34"/>
    <mergeCell ref="N29:AG29"/>
    <mergeCell ref="N35:AG35"/>
    <mergeCell ref="N36:AG36"/>
    <mergeCell ref="N39:AG39"/>
    <mergeCell ref="N27:AG27"/>
    <mergeCell ref="AF67:AG67"/>
    <mergeCell ref="AF66:AG66"/>
    <mergeCell ref="X66:AE66"/>
    <mergeCell ref="X67:AE67"/>
    <mergeCell ref="D51:Q51"/>
    <mergeCell ref="B66:T66"/>
    <mergeCell ref="N56:AG56"/>
    <mergeCell ref="N58:AG58"/>
    <mergeCell ref="N54:AG54"/>
    <mergeCell ref="N62:AG62"/>
    <mergeCell ref="U66:W66"/>
    <mergeCell ref="U65:W65"/>
    <mergeCell ref="AF65:AG65"/>
    <mergeCell ref="L64:N64"/>
    <mergeCell ref="X65:AE65"/>
  </mergeCells>
  <phoneticPr fontId="0" type="noConversion"/>
  <printOptions horizontalCentered="1" verticalCentered="1"/>
  <pageMargins left="0.55118110236220474" right="0.19685039370078741" top="0.43307086614173229" bottom="0.43307086614173229" header="0.27559055118110237" footer="0.27559055118110237"/>
  <pageSetup paperSize="135" scale="46" orientation="portrait" r:id="rId1"/>
  <headerFooter alignWithMargins="0">
    <oddFooter>&amp;L&amp;F&amp;R&amp;D -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69"/>
  <sheetViews>
    <sheetView showGridLines="0" view="pageBreakPreview" zoomScale="75" zoomScaleNormal="100" workbookViewId="0">
      <selection activeCell="C3" sqref="C3:H4"/>
    </sheetView>
  </sheetViews>
  <sheetFormatPr baseColWidth="10" defaultColWidth="11.44140625" defaultRowHeight="13.2" x14ac:dyDescent="0.25"/>
  <cols>
    <col min="1" max="1" width="2.88671875" customWidth="1"/>
    <col min="2" max="2" width="17.88671875" bestFit="1" customWidth="1"/>
    <col min="3" max="3" width="11.5546875" customWidth="1"/>
    <col min="4" max="4" width="33.109375" customWidth="1"/>
    <col min="5" max="5" width="18" customWidth="1"/>
    <col min="6" max="6" width="19.33203125" bestFit="1" customWidth="1"/>
    <col min="7" max="7" width="27.44140625" customWidth="1"/>
    <col min="8" max="8" width="23.5546875" bestFit="1" customWidth="1"/>
    <col min="9" max="9" width="25.33203125" bestFit="1" customWidth="1"/>
    <col min="10" max="10" width="12.33203125" bestFit="1" customWidth="1"/>
    <col min="11" max="11" width="2.5546875" customWidth="1"/>
    <col min="12" max="12" width="12.88671875" customWidth="1"/>
    <col min="13" max="13" width="7.109375" customWidth="1"/>
    <col min="14" max="14" width="43.44140625" bestFit="1" customWidth="1"/>
    <col min="15" max="15" width="17.6640625" customWidth="1"/>
    <col min="16" max="16" width="20" customWidth="1"/>
    <col min="17" max="17" width="1.88671875" customWidth="1"/>
    <col min="18" max="18" width="8" bestFit="1" customWidth="1"/>
  </cols>
  <sheetData>
    <row r="1" spans="1:19" ht="60" customHeight="1" thickBot="1" x14ac:dyDescent="0.3">
      <c r="A1" s="76"/>
      <c r="B1" s="706" t="s">
        <v>53</v>
      </c>
      <c r="C1" s="706"/>
      <c r="D1" s="706"/>
      <c r="E1" s="706"/>
      <c r="F1" s="706"/>
      <c r="G1" s="706"/>
      <c r="H1" s="706"/>
      <c r="I1" s="706"/>
      <c r="J1" s="706"/>
      <c r="K1" s="74"/>
    </row>
    <row r="2" spans="1:19" s="134" customFormat="1" ht="30" customHeight="1" thickTop="1" x14ac:dyDescent="0.25">
      <c r="A2" s="138"/>
      <c r="B2" s="195" t="s">
        <v>54</v>
      </c>
      <c r="C2" s="710" t="str">
        <f>+'Hoja de CIERRE'!I7</f>
        <v>PAMPA</v>
      </c>
      <c r="D2" s="711"/>
      <c r="E2" s="711"/>
      <c r="F2" s="711"/>
      <c r="G2" s="711"/>
      <c r="H2" s="712"/>
      <c r="I2" s="139" t="s">
        <v>55</v>
      </c>
      <c r="J2" s="171" t="str">
        <f>+'Hoja de CIERRE'!I13</f>
        <v>SHM</v>
      </c>
      <c r="K2" s="140"/>
    </row>
    <row r="3" spans="1:19" s="134" customFormat="1" ht="30" customHeight="1" x14ac:dyDescent="0.25">
      <c r="A3" s="138"/>
      <c r="B3" s="707" t="s">
        <v>56</v>
      </c>
      <c r="C3" s="719" t="str">
        <f>+'Hoja de CIERRE'!I5</f>
        <v>PAMPA SERVICIOS MENORES CIVILES</v>
      </c>
      <c r="D3" s="720"/>
      <c r="E3" s="720"/>
      <c r="F3" s="720"/>
      <c r="G3" s="720"/>
      <c r="H3" s="721"/>
      <c r="I3" s="141" t="s">
        <v>57</v>
      </c>
      <c r="J3" s="172" t="str">
        <f>+'Hoja de CIERRE'!X13</f>
        <v>SHM</v>
      </c>
      <c r="K3" s="140"/>
    </row>
    <row r="4" spans="1:19" s="134" customFormat="1" ht="30" customHeight="1" x14ac:dyDescent="0.25">
      <c r="A4" s="138"/>
      <c r="B4" s="707"/>
      <c r="C4" s="719"/>
      <c r="D4" s="720"/>
      <c r="E4" s="720"/>
      <c r="F4" s="720"/>
      <c r="G4" s="720"/>
      <c r="H4" s="721"/>
      <c r="I4" s="141" t="s">
        <v>58</v>
      </c>
      <c r="J4" s="172">
        <f>+'Hoja de CIERRE'!I14</f>
        <v>0</v>
      </c>
      <c r="K4" s="140"/>
    </row>
    <row r="5" spans="1:19" s="134" customFormat="1" ht="30" customHeight="1" thickBot="1" x14ac:dyDescent="0.3">
      <c r="A5" s="138"/>
      <c r="B5" s="196" t="s">
        <v>59</v>
      </c>
      <c r="C5" s="713" t="str">
        <f>+'Hoja de CIERRE'!I9</f>
        <v>Nº LICITACIÓN: SIN</v>
      </c>
      <c r="D5" s="714"/>
      <c r="E5" s="714"/>
      <c r="F5" s="714"/>
      <c r="G5" s="714"/>
      <c r="H5" s="715"/>
      <c r="I5" s="141" t="s">
        <v>60</v>
      </c>
      <c r="J5" s="173">
        <f>+'Hoja de CIERRE'!AD7</f>
        <v>46199</v>
      </c>
      <c r="K5" s="140"/>
    </row>
    <row r="6" spans="1:19" s="134" customFormat="1" ht="30" customHeight="1" thickBot="1" x14ac:dyDescent="0.3">
      <c r="A6" s="138"/>
      <c r="B6" s="197" t="s">
        <v>61</v>
      </c>
      <c r="C6" s="716" t="str">
        <f>+'Hoja de CIERRE'!I16</f>
        <v>PRE-ARG-1340</v>
      </c>
      <c r="D6" s="717"/>
      <c r="E6" s="717"/>
      <c r="F6" s="717"/>
      <c r="G6" s="717"/>
      <c r="H6" s="718"/>
      <c r="I6" s="142" t="s">
        <v>62</v>
      </c>
      <c r="J6" s="174">
        <v>0</v>
      </c>
      <c r="K6" s="143"/>
    </row>
    <row r="7" spans="1:19" ht="6" customHeight="1" thickTop="1" x14ac:dyDescent="0.25">
      <c r="A7" s="4"/>
      <c r="B7" s="4"/>
      <c r="C7" s="4"/>
      <c r="D7" s="4"/>
      <c r="E7" s="4"/>
      <c r="F7" s="28"/>
      <c r="G7" s="29"/>
      <c r="H7" s="29"/>
      <c r="I7" s="29"/>
      <c r="K7" s="28"/>
    </row>
    <row r="8" spans="1:19" ht="13.8" thickBot="1" x14ac:dyDescent="0.3">
      <c r="B8" s="70"/>
      <c r="C8" s="69"/>
      <c r="D8" s="71"/>
      <c r="E8" s="70"/>
      <c r="F8" s="70"/>
      <c r="G8" s="70"/>
      <c r="H8" s="70"/>
      <c r="I8" s="70"/>
      <c r="J8" s="70"/>
    </row>
    <row r="9" spans="1:19" ht="7.5" customHeight="1" x14ac:dyDescent="0.25">
      <c r="B9" s="125"/>
      <c r="C9" s="126"/>
      <c r="D9" s="126"/>
      <c r="E9" s="126"/>
      <c r="F9" s="126"/>
      <c r="G9" s="126"/>
      <c r="H9" s="126"/>
      <c r="I9" s="126"/>
      <c r="J9" s="127"/>
      <c r="K9" s="75"/>
    </row>
    <row r="10" spans="1:19" ht="26.4" x14ac:dyDescent="0.3">
      <c r="B10" s="128"/>
      <c r="C10" s="708" t="s">
        <v>63</v>
      </c>
      <c r="D10" s="708"/>
      <c r="E10" s="518" t="s">
        <v>64</v>
      </c>
      <c r="F10" s="518" t="s">
        <v>65</v>
      </c>
      <c r="G10" s="518" t="s">
        <v>66</v>
      </c>
      <c r="H10" s="518" t="s">
        <v>67</v>
      </c>
      <c r="I10" s="518" t="s">
        <v>68</v>
      </c>
      <c r="J10" s="394"/>
      <c r="K10" s="75"/>
      <c r="N10" s="519" t="s">
        <v>69</v>
      </c>
      <c r="O10" s="519" t="s">
        <v>70</v>
      </c>
      <c r="P10" s="519" t="s">
        <v>71</v>
      </c>
    </row>
    <row r="11" spans="1:19" s="144" customFormat="1" ht="35.1" customHeight="1" x14ac:dyDescent="0.25">
      <c r="B11" s="145"/>
      <c r="C11" s="204">
        <v>1</v>
      </c>
      <c r="D11" s="520" t="s">
        <v>72</v>
      </c>
      <c r="E11" s="521">
        <f>'1 MANO DE OBRA'!L44</f>
        <v>1623</v>
      </c>
      <c r="F11" s="521">
        <f>+E11/191</f>
        <v>8.4973821989528791</v>
      </c>
      <c r="G11" s="467">
        <f>'Presupuesto Interno'!E11</f>
        <v>27400066.4481031</v>
      </c>
      <c r="H11" s="467">
        <f t="shared" ref="H11:H16" si="0">+G11*12</f>
        <v>328800797.3772372</v>
      </c>
      <c r="I11" s="467">
        <f>+H11*'Hoja de CIERRE'!$AD$45</f>
        <v>657601594.7544744</v>
      </c>
      <c r="J11" s="394"/>
      <c r="K11" s="147"/>
      <c r="L11" s="148"/>
      <c r="N11" s="522" t="s">
        <v>72</v>
      </c>
      <c r="O11" s="349">
        <f>'Presupuesto de VENTA'!J13</f>
        <v>0.72712444413422617</v>
      </c>
      <c r="P11" s="519" t="s">
        <v>73</v>
      </c>
      <c r="R11" s="403">
        <f>+'Hoja de CIERRE'!U66*50%</f>
        <v>6.8711968126223738E-2</v>
      </c>
      <c r="S11" s="144" t="s">
        <v>74</v>
      </c>
    </row>
    <row r="12" spans="1:19" s="144" customFormat="1" ht="35.1" customHeight="1" x14ac:dyDescent="0.25">
      <c r="B12" s="145"/>
      <c r="C12" s="204">
        <v>2</v>
      </c>
      <c r="D12" s="520" t="s">
        <v>75</v>
      </c>
      <c r="E12" s="523"/>
      <c r="F12" s="181"/>
      <c r="G12" s="467">
        <f>'Presupuesto Interno'!E19</f>
        <v>0</v>
      </c>
      <c r="H12" s="467">
        <f t="shared" si="0"/>
        <v>0</v>
      </c>
      <c r="I12" s="467">
        <f>+H12*'Hoja de CIERRE'!$AD$45</f>
        <v>0</v>
      </c>
      <c r="J12" s="394"/>
      <c r="K12" s="147"/>
      <c r="L12" s="149"/>
      <c r="N12" s="522" t="s">
        <v>76</v>
      </c>
      <c r="O12" s="349">
        <v>0</v>
      </c>
      <c r="P12" s="524" t="s">
        <v>77</v>
      </c>
    </row>
    <row r="13" spans="1:19" s="144" customFormat="1" ht="35.1" customHeight="1" x14ac:dyDescent="0.25">
      <c r="B13" s="145"/>
      <c r="C13" s="204">
        <v>3</v>
      </c>
      <c r="D13" s="520" t="s">
        <v>78</v>
      </c>
      <c r="E13" s="523"/>
      <c r="F13" s="520"/>
      <c r="G13" s="467">
        <f>'Presupuesto Interno'!E25</f>
        <v>2787372.8342245989</v>
      </c>
      <c r="H13" s="467">
        <f t="shared" si="0"/>
        <v>33448474.010695189</v>
      </c>
      <c r="I13" s="467">
        <f>+H13*'Hoja de CIERRE'!$AD$45</f>
        <v>66896948.021390378</v>
      </c>
      <c r="J13" s="394"/>
      <c r="K13" s="147"/>
      <c r="N13" s="522" t="s">
        <v>79</v>
      </c>
      <c r="O13" s="349">
        <f>'Presupuesto de VENTA'!J25</f>
        <v>6.4249086316260501E-2</v>
      </c>
      <c r="P13" s="519" t="s">
        <v>80</v>
      </c>
    </row>
    <row r="14" spans="1:19" s="144" customFormat="1" ht="35.1" customHeight="1" x14ac:dyDescent="0.25">
      <c r="B14" s="145"/>
      <c r="C14" s="204">
        <v>4</v>
      </c>
      <c r="D14" s="520" t="s">
        <v>81</v>
      </c>
      <c r="E14" s="523"/>
      <c r="F14" s="520"/>
      <c r="G14" s="467">
        <f>'Presupuesto Interno'!E33</f>
        <v>100000</v>
      </c>
      <c r="H14" s="467">
        <f t="shared" si="0"/>
        <v>1200000</v>
      </c>
      <c r="I14" s="467">
        <f>+H14*'Hoja de CIERRE'!$AD$45</f>
        <v>2400000</v>
      </c>
      <c r="J14" s="394"/>
      <c r="K14" s="147"/>
      <c r="L14" s="150"/>
      <c r="N14" s="522" t="s">
        <v>82</v>
      </c>
      <c r="O14" s="349">
        <f>'Presupuesto de VENTA'!J33</f>
        <v>2.3050051118882172E-3</v>
      </c>
      <c r="P14" s="519" t="s">
        <v>83</v>
      </c>
    </row>
    <row r="15" spans="1:19" s="144" customFormat="1" ht="35.1" customHeight="1" x14ac:dyDescent="0.25">
      <c r="B15" s="145"/>
      <c r="C15" s="204">
        <v>5</v>
      </c>
      <c r="D15" s="520" t="s">
        <v>84</v>
      </c>
      <c r="E15" s="523"/>
      <c r="F15" s="520"/>
      <c r="G15" s="467">
        <f>'Presupuesto Interno'!E40</f>
        <v>3906741.7553004646</v>
      </c>
      <c r="H15" s="467">
        <f t="shared" si="0"/>
        <v>46880901.063605577</v>
      </c>
      <c r="I15" s="467">
        <f>+H15*'Hoja de CIERRE'!$AD$45</f>
        <v>93761802.127211154</v>
      </c>
      <c r="J15" s="394"/>
      <c r="K15" s="147"/>
      <c r="N15" s="522" t="s">
        <v>84</v>
      </c>
      <c r="O15" s="349">
        <f>'Presupuesto de VENTA'!J40</f>
        <v>9.0050597167947194E-2</v>
      </c>
      <c r="P15" s="519" t="s">
        <v>85</v>
      </c>
    </row>
    <row r="16" spans="1:19" s="144" customFormat="1" ht="35.1" customHeight="1" x14ac:dyDescent="0.25">
      <c r="B16" s="145"/>
      <c r="C16" s="204">
        <v>6</v>
      </c>
      <c r="D16" s="520" t="s">
        <v>86</v>
      </c>
      <c r="E16" s="523"/>
      <c r="F16" s="520"/>
      <c r="G16" s="467">
        <f>'Presupuesto Interno'!E48</f>
        <v>2137560</v>
      </c>
      <c r="H16" s="467">
        <f t="shared" si="0"/>
        <v>25650720</v>
      </c>
      <c r="I16" s="467">
        <f>+H16*'Hoja de CIERRE'!$AD$45</f>
        <v>51301440</v>
      </c>
      <c r="J16" s="394"/>
      <c r="K16" s="147"/>
      <c r="L16" s="298"/>
      <c r="N16" s="522" t="s">
        <v>87</v>
      </c>
      <c r="O16" s="349">
        <f>1-SUM(O11:O15)</f>
        <v>0.11627086726967795</v>
      </c>
      <c r="P16" s="519" t="s">
        <v>80</v>
      </c>
    </row>
    <row r="17" spans="2:15" s="144" customFormat="1" ht="17.399999999999999" x14ac:dyDescent="0.25">
      <c r="B17" s="145"/>
      <c r="C17" s="204"/>
      <c r="D17" s="520"/>
      <c r="E17" s="523"/>
      <c r="F17" s="520"/>
      <c r="G17" s="467"/>
      <c r="H17" s="467"/>
      <c r="I17" s="467"/>
      <c r="J17" s="394"/>
      <c r="K17" s="147"/>
      <c r="L17" s="298"/>
    </row>
    <row r="18" spans="2:15" s="390" customFormat="1" ht="19.2" x14ac:dyDescent="0.25">
      <c r="B18" s="391"/>
      <c r="C18" s="392"/>
      <c r="D18" s="709" t="s">
        <v>88</v>
      </c>
      <c r="E18" s="709"/>
      <c r="F18" s="709"/>
      <c r="G18" s="393">
        <f>SUM(G11:G16)</f>
        <v>36331741.037628166</v>
      </c>
      <c r="H18" s="393">
        <f>SUM(H11:H16)</f>
        <v>435980892.45153797</v>
      </c>
      <c r="I18" s="393">
        <f>SUM(I11:I16)</f>
        <v>871961784.90307593</v>
      </c>
      <c r="J18" s="394"/>
      <c r="K18" s="525"/>
      <c r="L18" s="526"/>
      <c r="M18" s="526"/>
      <c r="N18" s="526"/>
      <c r="O18" s="411">
        <f>+SUM(O11:O16)</f>
        <v>1</v>
      </c>
    </row>
    <row r="19" spans="2:15" s="144" customFormat="1" ht="15" x14ac:dyDescent="0.25">
      <c r="B19" s="145"/>
      <c r="C19" s="146"/>
      <c r="D19" s="151"/>
      <c r="E19" s="152"/>
      <c r="F19" s="146"/>
      <c r="G19" s="202"/>
      <c r="H19" s="202"/>
      <c r="I19" s="202"/>
      <c r="J19" s="153"/>
      <c r="K19" s="154"/>
      <c r="L19" s="155"/>
    </row>
    <row r="20" spans="2:15" s="144" customFormat="1" ht="17.399999999999999" x14ac:dyDescent="0.25">
      <c r="B20" s="145"/>
      <c r="C20" s="146"/>
      <c r="D20" s="688" t="s">
        <v>89</v>
      </c>
      <c r="E20" s="688"/>
      <c r="F20" s="688"/>
      <c r="G20" s="299">
        <f>'Presupuesto de VENTA'!G7</f>
        <v>3059703.2269355729</v>
      </c>
      <c r="H20" s="299">
        <f>+G20*12</f>
        <v>36716438.723226875</v>
      </c>
      <c r="I20" s="299">
        <f>+H20*'Hoja de CIERRE'!$AD$45</f>
        <v>73432877.44645375</v>
      </c>
      <c r="J20" s="156"/>
      <c r="K20" s="158"/>
      <c r="L20" s="159"/>
    </row>
    <row r="21" spans="2:15" s="144" customFormat="1" ht="15" customHeight="1" x14ac:dyDescent="0.25">
      <c r="B21" s="145"/>
      <c r="C21" s="146"/>
      <c r="D21" s="146"/>
      <c r="E21" s="146"/>
      <c r="F21" s="146"/>
      <c r="G21" s="146"/>
      <c r="H21" s="146"/>
      <c r="I21" s="146"/>
      <c r="J21" s="160"/>
      <c r="K21" s="161"/>
    </row>
    <row r="22" spans="2:15" s="390" customFormat="1" ht="35.1" customHeight="1" x14ac:dyDescent="0.25">
      <c r="B22" s="527"/>
      <c r="C22" s="528"/>
      <c r="D22" s="387" t="s">
        <v>90</v>
      </c>
      <c r="E22" s="700">
        <f>+G22/G24</f>
        <v>0.13742393625244748</v>
      </c>
      <c r="F22" s="701"/>
      <c r="G22" s="388">
        <f>+G24-G18-G20</f>
        <v>6275768.0777582377</v>
      </c>
      <c r="H22" s="388">
        <f>+G22*12</f>
        <v>75309216.933098853</v>
      </c>
      <c r="I22" s="388">
        <f>+H22*'Hoja de CIERRE'!$AD$45</f>
        <v>150618433.86619771</v>
      </c>
      <c r="J22" s="389"/>
      <c r="K22" s="529"/>
      <c r="L22" s="526"/>
      <c r="M22" s="526"/>
      <c r="N22" s="526"/>
      <c r="O22" s="526"/>
    </row>
    <row r="23" spans="2:15" s="144" customFormat="1" ht="8.25" customHeight="1" x14ac:dyDescent="0.25">
      <c r="B23" s="145"/>
      <c r="C23" s="146"/>
      <c r="D23" s="146"/>
      <c r="E23" s="146"/>
      <c r="F23" s="146"/>
      <c r="G23" s="146"/>
      <c r="H23" s="146"/>
      <c r="I23" s="146"/>
      <c r="J23" s="160"/>
      <c r="K23" s="161"/>
    </row>
    <row r="24" spans="2:15" s="144" customFormat="1" ht="35.1" customHeight="1" x14ac:dyDescent="0.25">
      <c r="B24" s="145"/>
      <c r="C24" s="704" t="s">
        <v>91</v>
      </c>
      <c r="D24" s="705"/>
      <c r="E24" s="702" t="s">
        <v>92</v>
      </c>
      <c r="F24" s="703"/>
      <c r="G24" s="385">
        <f>'Presupuesto de VENTA'!H7</f>
        <v>45667212.342321977</v>
      </c>
      <c r="H24" s="385">
        <f>+G24*12</f>
        <v>548006548.10786366</v>
      </c>
      <c r="I24" s="385">
        <f>+H24*'Hoja de CIERRE'!$AD$45</f>
        <v>1096013096.2157273</v>
      </c>
      <c r="J24" s="386"/>
      <c r="K24" s="161"/>
    </row>
    <row r="25" spans="2:15" s="144" customFormat="1" x14ac:dyDescent="0.25">
      <c r="B25" s="145"/>
      <c r="C25" s="162"/>
      <c r="D25" s="146"/>
      <c r="E25" s="163"/>
      <c r="F25" s="146"/>
      <c r="G25" s="164"/>
      <c r="H25" s="164"/>
      <c r="I25" s="164"/>
      <c r="J25" s="160"/>
      <c r="K25" s="161"/>
    </row>
    <row r="26" spans="2:15" s="144" customFormat="1" ht="15.6" x14ac:dyDescent="0.25">
      <c r="B26" s="145"/>
      <c r="C26" s="181" t="s">
        <v>93</v>
      </c>
      <c r="D26" s="157"/>
      <c r="E26" s="698">
        <v>0.21</v>
      </c>
      <c r="F26" s="699"/>
      <c r="G26" s="182">
        <f>G24*E26</f>
        <v>9590114.5918876156</v>
      </c>
      <c r="H26" s="182">
        <f>+G26*12</f>
        <v>115081375.10265139</v>
      </c>
      <c r="I26" s="182">
        <f>+H26*'Hoja de CIERRE'!$AD$45</f>
        <v>230162750.20530277</v>
      </c>
      <c r="J26" s="160"/>
      <c r="K26" s="161"/>
    </row>
    <row r="27" spans="2:15" s="144" customFormat="1" ht="15.6" x14ac:dyDescent="0.25">
      <c r="B27" s="145"/>
      <c r="C27" s="181"/>
      <c r="D27" s="157"/>
      <c r="E27" s="157"/>
      <c r="F27" s="157"/>
      <c r="G27" s="183"/>
      <c r="H27" s="183"/>
      <c r="I27" s="183"/>
      <c r="J27" s="160"/>
      <c r="K27" s="161"/>
    </row>
    <row r="28" spans="2:15" s="144" customFormat="1" ht="21" x14ac:dyDescent="0.25">
      <c r="B28" s="145"/>
      <c r="C28" s="181" t="s">
        <v>94</v>
      </c>
      <c r="D28" s="157"/>
      <c r="E28" s="157"/>
      <c r="F28" s="157"/>
      <c r="G28" s="184">
        <f>+G24+G26</f>
        <v>55257326.934209593</v>
      </c>
      <c r="H28" s="184">
        <f>+H24+H26</f>
        <v>663087923.21051502</v>
      </c>
      <c r="I28" s="184">
        <f>+I24+I26</f>
        <v>1326175846.42103</v>
      </c>
      <c r="J28" s="160"/>
      <c r="K28" s="161"/>
    </row>
    <row r="29" spans="2:15" s="144" customFormat="1" ht="15.6" x14ac:dyDescent="0.25">
      <c r="B29" s="145"/>
      <c r="C29" s="162"/>
      <c r="D29" s="146"/>
      <c r="E29" s="146"/>
      <c r="F29" s="146"/>
      <c r="G29" s="384"/>
      <c r="H29" s="384"/>
      <c r="I29" s="384"/>
      <c r="J29" s="160"/>
      <c r="K29" s="161"/>
    </row>
    <row r="30" spans="2:15" s="144" customFormat="1" ht="15" x14ac:dyDescent="0.25">
      <c r="B30" s="145"/>
      <c r="C30" s="146"/>
      <c r="D30" s="157"/>
      <c r="E30" s="165"/>
      <c r="F30" s="157"/>
      <c r="G30" s="157"/>
      <c r="H30" s="395"/>
      <c r="I30" s="157"/>
      <c r="J30" s="160"/>
      <c r="K30" s="161"/>
    </row>
    <row r="31" spans="2:15" s="134" customFormat="1" ht="21" x14ac:dyDescent="0.25">
      <c r="B31" s="135"/>
      <c r="C31" s="686" t="s">
        <v>95</v>
      </c>
      <c r="D31" s="686"/>
      <c r="E31" s="686"/>
      <c r="F31" s="687"/>
      <c r="G31" s="303">
        <f>+G28-G26-G20</f>
        <v>42607509.115386404</v>
      </c>
      <c r="H31" s="303">
        <f>+H28-H26-H20</f>
        <v>511290109.38463676</v>
      </c>
      <c r="I31" s="303">
        <f>+I28-I26-I20</f>
        <v>1022580218.7692735</v>
      </c>
      <c r="J31" s="136"/>
      <c r="K31" s="137"/>
    </row>
    <row r="32" spans="2:15" s="144" customFormat="1" x14ac:dyDescent="0.25">
      <c r="B32" s="145"/>
      <c r="C32" s="162"/>
      <c r="D32" s="146"/>
      <c r="E32" s="163"/>
      <c r="F32" s="146"/>
      <c r="G32" s="164"/>
      <c r="H32" s="164"/>
      <c r="I32" s="164"/>
      <c r="J32" s="160"/>
      <c r="K32" s="161"/>
    </row>
    <row r="33" spans="2:12" s="134" customFormat="1" ht="30" customHeight="1" x14ac:dyDescent="0.25">
      <c r="B33" s="135"/>
      <c r="C33" s="686" t="s">
        <v>96</v>
      </c>
      <c r="D33" s="686"/>
      <c r="E33" s="692">
        <v>0</v>
      </c>
      <c r="F33" s="692"/>
      <c r="G33" s="530">
        <f>+G31*$E$33</f>
        <v>0</v>
      </c>
      <c r="H33" s="530">
        <f>+H31*$E$33</f>
        <v>0</v>
      </c>
      <c r="I33" s="530">
        <f>+I31*$E$33</f>
        <v>0</v>
      </c>
      <c r="J33" s="136"/>
      <c r="K33" s="137"/>
    </row>
    <row r="34" spans="2:12" s="144" customFormat="1" x14ac:dyDescent="0.25">
      <c r="B34" s="145"/>
      <c r="C34" s="162"/>
      <c r="D34" s="146"/>
      <c r="E34" s="163"/>
      <c r="F34" s="146"/>
      <c r="G34" s="164"/>
      <c r="H34" s="164"/>
      <c r="I34" s="164"/>
      <c r="J34" s="160"/>
      <c r="K34" s="161"/>
    </row>
    <row r="35" spans="2:12" s="134" customFormat="1" ht="30" customHeight="1" x14ac:dyDescent="0.25">
      <c r="B35" s="248"/>
      <c r="C35" s="689" t="s">
        <v>97</v>
      </c>
      <c r="D35" s="689"/>
      <c r="E35" s="689"/>
      <c r="F35" s="306">
        <f>+G35/G31</f>
        <v>0.14729253617625668</v>
      </c>
      <c r="G35" s="307">
        <f>+G31-G18-G33</f>
        <v>6275768.0777582377</v>
      </c>
      <c r="H35" s="307">
        <f>+H31-H18-H33</f>
        <v>75309216.933098793</v>
      </c>
      <c r="I35" s="307">
        <f>+I31-I18-I33</f>
        <v>150618433.86619759</v>
      </c>
      <c r="J35" s="136"/>
      <c r="K35" s="137"/>
    </row>
    <row r="36" spans="2:12" s="134" customFormat="1" ht="30" customHeight="1" x14ac:dyDescent="0.25">
      <c r="B36" s="248"/>
      <c r="C36" s="693" t="s">
        <v>98</v>
      </c>
      <c r="D36" s="693"/>
      <c r="E36" s="693"/>
      <c r="F36" s="310"/>
      <c r="G36" s="694">
        <f>+I35</f>
        <v>150618433.86619759</v>
      </c>
      <c r="H36" s="695"/>
      <c r="I36" s="696"/>
      <c r="J36" s="136"/>
      <c r="K36" s="137"/>
    </row>
    <row r="37" spans="2:12" s="144" customFormat="1" x14ac:dyDescent="0.25">
      <c r="B37" s="145"/>
      <c r="C37" s="162"/>
      <c r="D37" s="146"/>
      <c r="E37" s="163"/>
      <c r="F37" s="146"/>
      <c r="G37" s="164"/>
      <c r="H37" s="164"/>
      <c r="I37" s="164"/>
      <c r="J37" s="160"/>
      <c r="K37" s="161"/>
    </row>
    <row r="38" spans="2:12" s="134" customFormat="1" ht="20.100000000000001" customHeight="1" x14ac:dyDescent="0.25">
      <c r="B38" s="248"/>
      <c r="C38" s="693" t="s">
        <v>99</v>
      </c>
      <c r="D38" s="693"/>
      <c r="E38" s="693"/>
      <c r="F38" s="531">
        <f>+G38/$G$24</f>
        <v>3.16419576734455</v>
      </c>
      <c r="G38" s="532">
        <f>+'5 AMORTIZACIÓN'!F89</f>
        <v>144500000</v>
      </c>
      <c r="H38" s="533"/>
      <c r="I38" s="533"/>
      <c r="J38" s="136"/>
      <c r="L38" s="308"/>
    </row>
    <row r="39" spans="2:12" s="134" customFormat="1" ht="20.100000000000001" customHeight="1" x14ac:dyDescent="0.25">
      <c r="B39" s="248"/>
      <c r="C39" s="693" t="s">
        <v>100</v>
      </c>
      <c r="D39" s="693"/>
      <c r="E39" s="693"/>
      <c r="F39" s="693"/>
      <c r="G39" s="534">
        <f>((G36/G38)/('Hoja de CIERRE'!$AD$45))</f>
        <v>0.5211710514401301</v>
      </c>
      <c r="H39" s="535"/>
      <c r="I39" s="535"/>
      <c r="J39" s="136"/>
      <c r="K39" s="137"/>
      <c r="L39" s="309"/>
    </row>
    <row r="40" spans="2:12" ht="16.2" thickBot="1" x14ac:dyDescent="0.35">
      <c r="B40" s="129"/>
      <c r="C40" s="130"/>
      <c r="D40" s="130"/>
      <c r="E40" s="131"/>
      <c r="F40" s="130"/>
      <c r="G40" s="132"/>
      <c r="H40" s="132"/>
      <c r="I40" s="132"/>
      <c r="J40" s="133"/>
      <c r="K40" s="75"/>
    </row>
    <row r="42" spans="2:12" ht="15.6" x14ac:dyDescent="0.3">
      <c r="B42" s="691" t="s">
        <v>101</v>
      </c>
      <c r="C42" s="691"/>
      <c r="D42" s="691"/>
      <c r="E42" s="691"/>
      <c r="F42" s="691"/>
      <c r="G42" s="691"/>
      <c r="H42" s="691"/>
      <c r="I42" s="691"/>
      <c r="J42" s="691"/>
    </row>
    <row r="43" spans="2:12" ht="15" x14ac:dyDescent="0.25">
      <c r="B43" s="193"/>
      <c r="C43" s="193"/>
      <c r="D43" s="193"/>
      <c r="E43" s="193"/>
      <c r="F43" s="193"/>
      <c r="G43" s="193"/>
      <c r="H43" s="193"/>
      <c r="I43" s="193"/>
      <c r="J43" s="193"/>
    </row>
    <row r="44" spans="2:12" ht="15" x14ac:dyDescent="0.25">
      <c r="B44" s="193"/>
      <c r="C44" s="193"/>
      <c r="D44" s="193"/>
      <c r="E44" s="198" t="s">
        <v>102</v>
      </c>
      <c r="F44" s="198" t="s">
        <v>103</v>
      </c>
      <c r="G44" s="402" t="s">
        <v>104</v>
      </c>
      <c r="H44" s="198"/>
      <c r="I44" s="198"/>
      <c r="J44" s="198" t="s">
        <v>105</v>
      </c>
    </row>
    <row r="45" spans="2:12" ht="15" x14ac:dyDescent="0.25">
      <c r="B45" s="193"/>
      <c r="C45" s="193"/>
      <c r="D45" s="193"/>
      <c r="E45" s="194"/>
      <c r="F45" s="194"/>
      <c r="G45" s="194"/>
      <c r="H45" s="194"/>
      <c r="I45" s="194"/>
      <c r="J45" s="194"/>
    </row>
    <row r="46" spans="2:12" ht="31.5" customHeight="1" x14ac:dyDescent="0.25">
      <c r="B46" s="697" t="s">
        <v>106</v>
      </c>
      <c r="C46" s="697"/>
      <c r="D46" s="697"/>
      <c r="E46" s="536">
        <f>+G11/F11</f>
        <v>3224530.3090497181</v>
      </c>
      <c r="F46" s="304">
        <f>+G24/F11</f>
        <v>5374268.3656090563</v>
      </c>
      <c r="G46" s="537">
        <f>+G35/F11</f>
        <v>738553.113279004</v>
      </c>
      <c r="H46" s="538"/>
      <c r="I46" s="538"/>
      <c r="J46" s="203">
        <f>+F46/E46</f>
        <v>1.6666825399426544</v>
      </c>
    </row>
    <row r="47" spans="2:12" ht="15" x14ac:dyDescent="0.25">
      <c r="B47" s="193"/>
      <c r="C47" s="193"/>
      <c r="D47" s="193"/>
      <c r="E47" s="193"/>
      <c r="F47" s="305"/>
      <c r="G47" s="193"/>
      <c r="H47" s="193"/>
      <c r="I47" s="193"/>
      <c r="J47" s="193"/>
    </row>
    <row r="48" spans="2:12" ht="31.5" customHeight="1" x14ac:dyDescent="0.25">
      <c r="B48" s="697" t="s">
        <v>107</v>
      </c>
      <c r="C48" s="697"/>
      <c r="D48" s="697"/>
      <c r="E48" s="536">
        <f>+G11/E11</f>
        <v>16882.35763900376</v>
      </c>
      <c r="F48" s="304">
        <f>+G24/E11</f>
        <v>28137.530709995055</v>
      </c>
      <c r="G48" s="537">
        <f>+G35/E11</f>
        <v>3866.7702265916437</v>
      </c>
      <c r="H48" s="538"/>
      <c r="I48" s="538"/>
      <c r="J48" s="203">
        <f>+F48/E48</f>
        <v>1.6666825399426541</v>
      </c>
    </row>
    <row r="49" spans="2:10" x14ac:dyDescent="0.25">
      <c r="B49" s="169"/>
      <c r="C49" s="169"/>
      <c r="D49" s="169"/>
      <c r="E49" s="169"/>
      <c r="F49" s="169"/>
      <c r="G49" s="169"/>
      <c r="H49" s="169"/>
      <c r="I49" s="169"/>
      <c r="J49" s="169"/>
    </row>
    <row r="52" spans="2:10" ht="15" x14ac:dyDescent="0.25">
      <c r="B52" s="690" t="s">
        <v>108</v>
      </c>
      <c r="C52" s="690"/>
      <c r="D52" s="690"/>
      <c r="E52" s="690"/>
    </row>
    <row r="53" spans="2:10" x14ac:dyDescent="0.25">
      <c r="B53" s="62"/>
      <c r="C53" s="62"/>
      <c r="D53" s="62"/>
      <c r="E53" s="62"/>
      <c r="F53" s="539"/>
      <c r="G53" s="170"/>
      <c r="H53" s="170"/>
      <c r="I53" s="170"/>
    </row>
    <row r="54" spans="2:10" ht="15" x14ac:dyDescent="0.25">
      <c r="B54" s="685" t="s">
        <v>109</v>
      </c>
      <c r="C54" s="685"/>
      <c r="D54" s="685"/>
      <c r="E54" s="685"/>
      <c r="F54" s="186" t="s">
        <v>110</v>
      </c>
      <c r="G54" s="168"/>
      <c r="H54" s="168"/>
      <c r="I54" s="168"/>
      <c r="J54" s="169"/>
    </row>
    <row r="55" spans="2:10" ht="15" x14ac:dyDescent="0.25">
      <c r="B55" s="194"/>
      <c r="C55" s="194"/>
      <c r="D55" s="194"/>
      <c r="E55" s="194"/>
      <c r="F55" s="187"/>
      <c r="G55" s="72"/>
      <c r="H55" s="72"/>
      <c r="I55" s="72"/>
    </row>
    <row r="56" spans="2:10" ht="15" x14ac:dyDescent="0.25">
      <c r="B56" s="194"/>
      <c r="C56" s="194"/>
      <c r="D56" s="194"/>
      <c r="E56" s="194"/>
      <c r="F56" s="185"/>
      <c r="G56" s="72"/>
      <c r="H56" s="72"/>
      <c r="I56" s="72"/>
    </row>
    <row r="57" spans="2:10" ht="15.6" x14ac:dyDescent="0.3">
      <c r="B57" s="188" t="s">
        <v>111</v>
      </c>
      <c r="C57" s="194"/>
      <c r="D57" s="194"/>
      <c r="E57" s="194"/>
      <c r="F57" s="185"/>
      <c r="G57" s="72"/>
      <c r="H57" s="72"/>
      <c r="I57" s="72"/>
    </row>
    <row r="58" spans="2:10" ht="30" customHeight="1" x14ac:dyDescent="0.25">
      <c r="B58" s="684"/>
      <c r="C58" s="684"/>
      <c r="D58" s="684"/>
      <c r="E58" s="684"/>
      <c r="F58" s="684"/>
      <c r="G58" s="684"/>
      <c r="H58" s="684"/>
      <c r="I58" s="684"/>
      <c r="J58" s="684"/>
    </row>
    <row r="59" spans="2:10" ht="30" customHeight="1" x14ac:dyDescent="0.25">
      <c r="B59" s="684"/>
      <c r="C59" s="684"/>
      <c r="D59" s="684"/>
      <c r="E59" s="684"/>
      <c r="F59" s="684"/>
      <c r="G59" s="684"/>
      <c r="H59" s="684"/>
      <c r="I59" s="684"/>
      <c r="J59" s="684"/>
    </row>
    <row r="60" spans="2:10" ht="30" customHeight="1" x14ac:dyDescent="0.25">
      <c r="B60" s="684"/>
      <c r="C60" s="684"/>
      <c r="D60" s="684"/>
      <c r="E60" s="684"/>
      <c r="F60" s="684"/>
      <c r="G60" s="684"/>
      <c r="H60" s="684"/>
      <c r="I60" s="684"/>
      <c r="J60" s="684"/>
    </row>
    <row r="61" spans="2:10" ht="30" customHeight="1" x14ac:dyDescent="0.25">
      <c r="B61" s="684"/>
      <c r="C61" s="684"/>
      <c r="D61" s="684"/>
      <c r="E61" s="684"/>
      <c r="F61" s="684"/>
      <c r="G61" s="684"/>
      <c r="H61" s="684"/>
      <c r="I61" s="684"/>
      <c r="J61" s="684"/>
    </row>
    <row r="62" spans="2:10" ht="30" customHeight="1" x14ac:dyDescent="0.25">
      <c r="B62" s="684"/>
      <c r="C62" s="684"/>
      <c r="D62" s="684"/>
      <c r="E62" s="684"/>
      <c r="F62" s="684"/>
      <c r="G62" s="684"/>
      <c r="H62" s="684"/>
      <c r="I62" s="684"/>
      <c r="J62" s="684"/>
    </row>
    <row r="63" spans="2:10" ht="30" customHeight="1" x14ac:dyDescent="0.25">
      <c r="B63" s="684"/>
      <c r="C63" s="684"/>
      <c r="D63" s="684"/>
      <c r="E63" s="684"/>
      <c r="F63" s="684"/>
      <c r="G63" s="684"/>
      <c r="H63" s="684"/>
      <c r="I63" s="684"/>
      <c r="J63" s="684"/>
    </row>
    <row r="64" spans="2:10" ht="30" customHeight="1" x14ac:dyDescent="0.25">
      <c r="B64" s="684"/>
      <c r="C64" s="684"/>
      <c r="D64" s="684"/>
      <c r="E64" s="684"/>
      <c r="F64" s="684"/>
      <c r="G64" s="684"/>
      <c r="H64" s="684"/>
      <c r="I64" s="684"/>
      <c r="J64" s="684"/>
    </row>
    <row r="65" spans="2:10" ht="30" customHeight="1" x14ac:dyDescent="0.25">
      <c r="B65" s="684"/>
      <c r="C65" s="684"/>
      <c r="D65" s="684"/>
      <c r="E65" s="684"/>
      <c r="F65" s="684"/>
      <c r="G65" s="684"/>
      <c r="H65" s="684"/>
      <c r="I65" s="684"/>
      <c r="J65" s="684"/>
    </row>
    <row r="66" spans="2:10" ht="30" customHeight="1" x14ac:dyDescent="0.25">
      <c r="B66" s="684"/>
      <c r="C66" s="684"/>
      <c r="D66" s="684"/>
      <c r="E66" s="684"/>
      <c r="F66" s="684"/>
      <c r="G66" s="684"/>
      <c r="H66" s="684"/>
      <c r="I66" s="684"/>
      <c r="J66" s="684"/>
    </row>
    <row r="67" spans="2:10" ht="30" customHeight="1" x14ac:dyDescent="0.25">
      <c r="B67" s="684"/>
      <c r="C67" s="684"/>
      <c r="D67" s="684"/>
      <c r="E67" s="684"/>
      <c r="F67" s="684"/>
      <c r="G67" s="684"/>
      <c r="H67" s="684"/>
      <c r="I67" s="684"/>
      <c r="J67" s="684"/>
    </row>
    <row r="68" spans="2:10" ht="30" customHeight="1" x14ac:dyDescent="0.25">
      <c r="B68" s="684"/>
      <c r="C68" s="684"/>
      <c r="D68" s="684"/>
      <c r="E68" s="684"/>
      <c r="F68" s="684"/>
      <c r="G68" s="684"/>
      <c r="H68" s="684"/>
      <c r="I68" s="684"/>
      <c r="J68" s="684"/>
    </row>
    <row r="69" spans="2:10" x14ac:dyDescent="0.25">
      <c r="B69" s="180"/>
      <c r="F69" s="28"/>
      <c r="G69" s="72"/>
      <c r="H69" s="72"/>
      <c r="I69" s="72"/>
      <c r="J69" s="73"/>
    </row>
  </sheetData>
  <mergeCells count="37">
    <mergeCell ref="C24:D24"/>
    <mergeCell ref="B1:J1"/>
    <mergeCell ref="B3:B4"/>
    <mergeCell ref="C10:D10"/>
    <mergeCell ref="D18:F18"/>
    <mergeCell ref="C2:H2"/>
    <mergeCell ref="C5:H5"/>
    <mergeCell ref="C6:H6"/>
    <mergeCell ref="C3:H4"/>
    <mergeCell ref="C31:F31"/>
    <mergeCell ref="D20:F20"/>
    <mergeCell ref="C35:E35"/>
    <mergeCell ref="C33:D33"/>
    <mergeCell ref="B52:E52"/>
    <mergeCell ref="B42:J42"/>
    <mergeCell ref="E33:F33"/>
    <mergeCell ref="C38:E38"/>
    <mergeCell ref="C39:F39"/>
    <mergeCell ref="C36:E36"/>
    <mergeCell ref="G36:I36"/>
    <mergeCell ref="B46:D46"/>
    <mergeCell ref="B48:D48"/>
    <mergeCell ref="E26:F26"/>
    <mergeCell ref="E22:F22"/>
    <mergeCell ref="E24:F24"/>
    <mergeCell ref="B62:J62"/>
    <mergeCell ref="B54:E54"/>
    <mergeCell ref="B60:J60"/>
    <mergeCell ref="B63:J63"/>
    <mergeCell ref="B68:J68"/>
    <mergeCell ref="B67:J67"/>
    <mergeCell ref="B64:J64"/>
    <mergeCell ref="B65:J65"/>
    <mergeCell ref="B66:J66"/>
    <mergeCell ref="B61:J61"/>
    <mergeCell ref="B58:J58"/>
    <mergeCell ref="B59:J59"/>
  </mergeCells>
  <phoneticPr fontId="0" type="noConversion"/>
  <printOptions horizontalCentered="1"/>
  <pageMargins left="0.78740157480314965" right="0.39370078740157483" top="0.59055118110236227" bottom="0.59055118110236227" header="0" footer="0"/>
  <pageSetup paperSize="9" scale="44" orientation="portrait" horizontalDpi="300" verticalDpi="300" r:id="rId1"/>
  <headerFooter alignWithMargins="0">
    <oddFooter>&amp;L&amp;P - &amp;N CONFIDENCIAL&amp;R&amp;F -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134"/>
  <sheetViews>
    <sheetView showGridLines="0" tabSelected="1" view="pageBreakPreview" zoomScale="60" zoomScaleNormal="75" zoomScaleSheetLayoutView="100" workbookViewId="0">
      <selection activeCell="G15" sqref="G15"/>
    </sheetView>
  </sheetViews>
  <sheetFormatPr baseColWidth="10" defaultColWidth="11.44140625" defaultRowHeight="13.2" x14ac:dyDescent="0.25"/>
  <cols>
    <col min="1" max="1" width="2.44140625" customWidth="1"/>
    <col min="2" max="2" width="4.5546875" customWidth="1"/>
    <col min="3" max="3" width="14" customWidth="1"/>
    <col min="4" max="4" width="54.109375" bestFit="1" customWidth="1"/>
    <col min="5" max="5" width="20.33203125" customWidth="1"/>
    <col min="6" max="6" width="22.109375" bestFit="1" customWidth="1"/>
    <col min="7" max="7" width="19.109375" style="28" customWidth="1"/>
    <col min="8" max="8" width="28.6640625" style="29" bestFit="1" customWidth="1"/>
    <col min="9" max="9" width="18" bestFit="1" customWidth="1"/>
    <col min="10" max="10" width="29.6640625" style="28" bestFit="1" customWidth="1"/>
    <col min="11" max="11" width="23.88671875" style="28" customWidth="1"/>
    <col min="12" max="12" width="23" bestFit="1" customWidth="1"/>
    <col min="13" max="13" width="23" customWidth="1"/>
    <col min="14" max="14" width="34.88671875" bestFit="1" customWidth="1"/>
    <col min="15" max="15" width="28" customWidth="1"/>
    <col min="16" max="16" width="17" bestFit="1" customWidth="1"/>
    <col min="17" max="17" width="12.6640625" bestFit="1" customWidth="1"/>
    <col min="18" max="18" width="13.44140625" bestFit="1" customWidth="1"/>
    <col min="19" max="19" width="12" bestFit="1" customWidth="1"/>
    <col min="21" max="21" width="14" bestFit="1" customWidth="1"/>
    <col min="22" max="22" width="11.44140625" style="97" customWidth="1"/>
    <col min="24" max="24" width="14.44140625" style="97" bestFit="1" customWidth="1"/>
    <col min="25" max="25" width="14.6640625" bestFit="1" customWidth="1"/>
    <col min="26" max="26" width="14" bestFit="1" customWidth="1"/>
  </cols>
  <sheetData>
    <row r="1" spans="2:26" ht="45.75" customHeight="1" thickBot="1" x14ac:dyDescent="0.3">
      <c r="B1" s="722" t="s">
        <v>112</v>
      </c>
      <c r="C1" s="723"/>
      <c r="D1" s="723"/>
      <c r="E1" s="723"/>
      <c r="F1" s="723"/>
      <c r="G1" s="723"/>
      <c r="H1" s="723"/>
      <c r="I1" s="723"/>
      <c r="J1" s="724"/>
      <c r="K1"/>
    </row>
    <row r="2" spans="2:26" ht="35.1" customHeight="1" x14ac:dyDescent="0.25">
      <c r="B2" s="254"/>
      <c r="C2" s="540" t="s">
        <v>54</v>
      </c>
      <c r="D2" s="725" t="str">
        <f>+'Sintesis Economica'!C2</f>
        <v>PAMPA</v>
      </c>
      <c r="E2" s="725"/>
      <c r="F2" s="725"/>
      <c r="G2" s="725"/>
      <c r="H2" s="725"/>
      <c r="I2" s="252" t="s">
        <v>113</v>
      </c>
      <c r="J2" s="249" t="str">
        <f>+'Sintesis Economica'!J2</f>
        <v>SHM</v>
      </c>
      <c r="K2"/>
      <c r="L2" s="490"/>
      <c r="M2" s="490"/>
      <c r="Y2" s="478"/>
      <c r="Z2" s="478"/>
    </row>
    <row r="3" spans="2:26" ht="15.6" x14ac:dyDescent="0.25">
      <c r="B3" s="254"/>
      <c r="C3" s="540" t="s">
        <v>114</v>
      </c>
      <c r="D3" s="726" t="str">
        <f>+'Sintesis Economica'!C3</f>
        <v>PAMPA SERVICIOS MENORES CIVILES</v>
      </c>
      <c r="E3" s="726"/>
      <c r="F3" s="726"/>
      <c r="G3" s="726"/>
      <c r="H3" s="726"/>
      <c r="I3" s="252" t="s">
        <v>115</v>
      </c>
      <c r="J3" s="250" t="str">
        <f>+'Sintesis Economica'!J3</f>
        <v>SHM</v>
      </c>
      <c r="K3"/>
      <c r="L3" s="541"/>
      <c r="M3" s="541"/>
      <c r="Y3" s="478"/>
      <c r="Z3" s="478"/>
    </row>
    <row r="4" spans="2:26" ht="36.75" customHeight="1" x14ac:dyDescent="0.25">
      <c r="B4" s="254"/>
      <c r="C4" s="540" t="s">
        <v>59</v>
      </c>
      <c r="D4" s="726" t="str">
        <f>+'Sintesis Economica'!C5</f>
        <v>Nº LICITACIÓN: SIN</v>
      </c>
      <c r="E4" s="726"/>
      <c r="F4" s="726"/>
      <c r="G4" s="726"/>
      <c r="H4" s="726"/>
      <c r="I4" s="252" t="s">
        <v>58</v>
      </c>
      <c r="J4" s="250">
        <f>+'Sintesis Economica'!J4</f>
        <v>0</v>
      </c>
      <c r="K4"/>
      <c r="L4" s="542"/>
      <c r="M4" s="542"/>
      <c r="Y4" s="478"/>
      <c r="Z4" s="478"/>
    </row>
    <row r="5" spans="2:26" ht="36.75" customHeight="1" thickBot="1" x14ac:dyDescent="0.3">
      <c r="B5" s="255"/>
      <c r="C5" s="543" t="s">
        <v>61</v>
      </c>
      <c r="D5" s="727" t="str">
        <f>+'Sintesis Economica'!C6</f>
        <v>PRE-ARG-1340</v>
      </c>
      <c r="E5" s="727"/>
      <c r="F5" s="727"/>
      <c r="G5" s="727"/>
      <c r="H5" s="727"/>
      <c r="I5" s="253" t="s">
        <v>60</v>
      </c>
      <c r="J5" s="251">
        <f>+'Sintesis Economica'!J5</f>
        <v>46199</v>
      </c>
      <c r="K5"/>
      <c r="Y5" s="478"/>
      <c r="Z5" s="478"/>
    </row>
    <row r="6" spans="2:26" ht="36.75" customHeight="1" thickBot="1" x14ac:dyDescent="0.3">
      <c r="B6" s="4"/>
      <c r="C6" s="4"/>
      <c r="D6" s="4"/>
      <c r="E6" s="4"/>
      <c r="F6" s="4"/>
      <c r="H6" s="608">
        <f>6*H7</f>
        <v>274003274.05393183</v>
      </c>
      <c r="K6"/>
      <c r="L6" s="478"/>
      <c r="M6" s="478"/>
      <c r="N6" s="478"/>
      <c r="Y6" s="478"/>
      <c r="Z6" s="478"/>
    </row>
    <row r="7" spans="2:26" ht="36.75" customHeight="1" thickBot="1" x14ac:dyDescent="0.3">
      <c r="B7" s="728" t="s">
        <v>116</v>
      </c>
      <c r="C7" s="729"/>
      <c r="D7" s="730" t="s">
        <v>117</v>
      </c>
      <c r="E7" s="731"/>
      <c r="F7" s="544">
        <f>+(5+1.2+0.5)%</f>
        <v>6.7000000000000004E-2</v>
      </c>
      <c r="G7" s="245">
        <f>-H11+H11/(1-F7)</f>
        <v>3059703.2269355729</v>
      </c>
      <c r="H7" s="300">
        <f>+H11+G7</f>
        <v>45667212.342321977</v>
      </c>
      <c r="I7" s="300">
        <f>+H7/$E$9</f>
        <v>34887.098810024429</v>
      </c>
      <c r="J7" s="609">
        <f>H7*12</f>
        <v>548006548.10786366</v>
      </c>
      <c r="K7" s="434">
        <f>I7/28000</f>
        <v>1.2459678146437296</v>
      </c>
      <c r="L7" s="477"/>
      <c r="M7" s="434"/>
      <c r="N7" s="434"/>
      <c r="O7" s="434"/>
      <c r="Y7" s="478"/>
      <c r="Z7" s="478"/>
    </row>
    <row r="8" spans="2:26" ht="36.75" customHeight="1" thickBot="1" x14ac:dyDescent="0.3">
      <c r="B8" s="4"/>
      <c r="C8" s="4"/>
      <c r="D8" s="4"/>
      <c r="E8" s="4"/>
      <c r="F8" s="4"/>
      <c r="H8" s="608">
        <f>H7-H41-H74</f>
        <v>42504940.726549484</v>
      </c>
      <c r="I8" s="608">
        <f>H8/E9</f>
        <v>32471.306895759728</v>
      </c>
      <c r="J8" s="201"/>
      <c r="K8"/>
      <c r="L8" s="477"/>
      <c r="M8" s="477"/>
      <c r="N8" s="477"/>
      <c r="O8" s="477"/>
      <c r="Y8" s="478"/>
      <c r="Z8" s="478"/>
    </row>
    <row r="9" spans="2:26" ht="36.75" customHeight="1" thickBot="1" x14ac:dyDescent="0.3">
      <c r="B9" s="732">
        <f>+(H7-F11-G7)/H7</f>
        <v>0.13742393625244748</v>
      </c>
      <c r="C9" s="733"/>
      <c r="D9" s="79" t="s">
        <v>118</v>
      </c>
      <c r="E9" s="80">
        <f>'Presupuesto Interno'!D7</f>
        <v>1309</v>
      </c>
      <c r="F9" s="81" t="s">
        <v>63</v>
      </c>
      <c r="G9" s="82" t="s">
        <v>119</v>
      </c>
      <c r="H9" s="83" t="s">
        <v>120</v>
      </c>
      <c r="I9" s="84" t="s">
        <v>121</v>
      </c>
      <c r="J9" s="84" t="s">
        <v>122</v>
      </c>
      <c r="K9" s="468"/>
      <c r="L9" s="201">
        <f>(H7-G7)/F11-1</f>
        <v>0.17273513183027833</v>
      </c>
      <c r="M9" s="201"/>
      <c r="N9" s="317" t="s">
        <v>123</v>
      </c>
      <c r="O9" s="317" t="s">
        <v>124</v>
      </c>
      <c r="P9" s="318"/>
      <c r="Q9" t="s">
        <v>125</v>
      </c>
      <c r="R9" s="517"/>
      <c r="S9" s="97"/>
      <c r="U9" s="88"/>
      <c r="Y9" s="478"/>
      <c r="Z9" s="478"/>
    </row>
    <row r="10" spans="2:26" ht="36.75" customHeight="1" thickBot="1" x14ac:dyDescent="0.3">
      <c r="B10" s="4"/>
      <c r="C10" s="4"/>
      <c r="D10" s="4"/>
      <c r="E10" s="4"/>
      <c r="F10" s="4"/>
      <c r="K10"/>
      <c r="L10" s="545"/>
      <c r="M10" s="545"/>
      <c r="N10" s="509"/>
      <c r="O10" s="546" t="s">
        <v>126</v>
      </c>
      <c r="P10" s="516" t="s">
        <v>127</v>
      </c>
      <c r="Q10" s="516" t="s">
        <v>128</v>
      </c>
      <c r="R10" s="517"/>
      <c r="S10" s="97"/>
      <c r="Y10" s="478"/>
      <c r="Z10" s="478"/>
    </row>
    <row r="11" spans="2:26" ht="36.75" customHeight="1" thickBot="1" x14ac:dyDescent="0.65">
      <c r="B11" s="734" t="s">
        <v>129</v>
      </c>
      <c r="C11" s="735"/>
      <c r="D11" s="735"/>
      <c r="E11" s="736"/>
      <c r="F11" s="246">
        <f>F13+F19+F25+F33+F40+F48</f>
        <v>36331741.037628166</v>
      </c>
      <c r="G11" s="247">
        <f>+(H11-F11)/H11</f>
        <v>0.14729253617625668</v>
      </c>
      <c r="H11" s="301">
        <f>+H13+H19+H25+H33+H40+H48</f>
        <v>42607509.115386404</v>
      </c>
      <c r="I11" s="301">
        <f>H11/$E$9</f>
        <v>32549.663189752791</v>
      </c>
      <c r="J11" s="43">
        <f>+SUM(J13:J48)</f>
        <v>8900.2119672197241</v>
      </c>
      <c r="K11"/>
      <c r="L11" s="547"/>
      <c r="M11" s="468"/>
      <c r="N11" s="510" t="str">
        <f>'1 MANO DE OBRA'!B17</f>
        <v>MEDIO OFICIAL</v>
      </c>
      <c r="O11" s="511">
        <f>'1 MANO DE OBRA'!F17</f>
        <v>177.06476530005941</v>
      </c>
      <c r="P11" s="512">
        <f t="shared" ref="P11:P13" si="0">$L$4</f>
        <v>0</v>
      </c>
      <c r="Q11" s="513">
        <f>O11+P11</f>
        <v>177.06476530005941</v>
      </c>
      <c r="R11" s="548">
        <f>AVERAGE(Q11:Q12)</f>
        <v>8700.077405391643</v>
      </c>
      <c r="S11" s="97"/>
      <c r="U11" s="491"/>
      <c r="Y11" s="478"/>
      <c r="Z11" s="478"/>
    </row>
    <row r="12" spans="2:26" ht="36.75" customHeight="1" thickBot="1" x14ac:dyDescent="0.35">
      <c r="B12" s="65"/>
      <c r="C12" s="65"/>
      <c r="D12" s="65"/>
      <c r="E12" s="65"/>
      <c r="F12" s="65"/>
      <c r="G12" s="44"/>
      <c r="H12" s="45"/>
      <c r="M12" s="468"/>
      <c r="N12" s="510" t="str">
        <f>'1 MANO DE OBRA'!B18</f>
        <v>OFICIAL</v>
      </c>
      <c r="O12" s="511">
        <f>'1 MANO DE OBRA'!F18</f>
        <v>17223.090045483226</v>
      </c>
      <c r="P12" s="512">
        <f t="shared" si="0"/>
        <v>0</v>
      </c>
      <c r="Q12" s="513">
        <f>O12+P12</f>
        <v>17223.090045483226</v>
      </c>
      <c r="R12" s="548"/>
      <c r="S12" s="493"/>
      <c r="T12" s="73"/>
      <c r="U12" s="491"/>
      <c r="Y12" s="478"/>
      <c r="Z12" s="478"/>
    </row>
    <row r="13" spans="2:26" ht="36.75" customHeight="1" thickBot="1" x14ac:dyDescent="0.65">
      <c r="B13" s="737" t="s">
        <v>130</v>
      </c>
      <c r="C13" s="738"/>
      <c r="D13" s="738"/>
      <c r="E13" s="5"/>
      <c r="F13" s="46">
        <f>SUM(F14:F17)</f>
        <v>27400066.4481031</v>
      </c>
      <c r="G13" s="47">
        <f>+(H13-F13)/H13</f>
        <v>0.17483961581092253</v>
      </c>
      <c r="H13" s="48">
        <f>SUM(H14:H17)</f>
        <v>33205746.389570542</v>
      </c>
      <c r="I13" s="48">
        <f>H13/$E$9</f>
        <v>25367.262329694837</v>
      </c>
      <c r="J13" s="63">
        <f>+H13/$H$7</f>
        <v>0.72712444413422617</v>
      </c>
      <c r="K13" s="63">
        <v>0.76586864677070299</v>
      </c>
      <c r="L13" s="468"/>
      <c r="M13" s="468"/>
      <c r="N13" s="510" t="str">
        <f>'1 MANO DE OBRA'!B19</f>
        <v>OFICIAL ESPACIALIZADO</v>
      </c>
      <c r="O13" s="511">
        <f>'1 MANO DE OBRA'!F19</f>
        <v>18905.250319357045</v>
      </c>
      <c r="P13" s="512">
        <f t="shared" si="0"/>
        <v>0</v>
      </c>
      <c r="Q13" s="513">
        <f>(O13+P13)*1.1</f>
        <v>20795.775351292752</v>
      </c>
      <c r="R13" s="611">
        <f>Q13</f>
        <v>20795.775351292752</v>
      </c>
      <c r="S13" s="493">
        <f>R13/R11</f>
        <v>2.3902977390069102</v>
      </c>
      <c r="U13" s="491"/>
      <c r="Y13" s="478"/>
      <c r="Z13" s="478"/>
    </row>
    <row r="14" spans="2:26" ht="36.75" customHeight="1" x14ac:dyDescent="0.25">
      <c r="B14" s="4"/>
      <c r="C14" s="4"/>
      <c r="D14" s="6" t="str">
        <f>+'Presupuesto Interno'!C12</f>
        <v>1.1 Directa (Personal de Convenio)</v>
      </c>
      <c r="E14" s="549"/>
      <c r="F14" s="199">
        <f>+'Presupuesto Interno'!E12</f>
        <v>22545024.869537544</v>
      </c>
      <c r="G14" s="480">
        <v>0.18</v>
      </c>
      <c r="H14" s="50">
        <f>+F14/(1-G14)</f>
        <v>27493932.767728709</v>
      </c>
      <c r="I14" s="49"/>
      <c r="L14" s="468"/>
      <c r="M14" s="468"/>
      <c r="N14" s="510"/>
      <c r="O14" s="511"/>
      <c r="P14" s="512"/>
      <c r="Q14" s="513"/>
      <c r="S14" s="494"/>
      <c r="U14" s="491"/>
      <c r="Y14" s="478"/>
      <c r="Z14" s="478"/>
    </row>
    <row r="15" spans="2:26" ht="36.75" customHeight="1" x14ac:dyDescent="0.25">
      <c r="B15" s="4"/>
      <c r="C15" s="4"/>
      <c r="D15" s="6" t="str">
        <f>+'Presupuesto Interno'!C13</f>
        <v>1.2 Indirecta (Personal fuera de Convenio)</v>
      </c>
      <c r="E15" s="549"/>
      <c r="F15" s="199">
        <f>+'Presupuesto Interno'!E13</f>
        <v>4855041.5785655566</v>
      </c>
      <c r="G15" s="211">
        <v>0.15</v>
      </c>
      <c r="H15" s="50">
        <f>+F15/(1-G15)</f>
        <v>5711813.6218418311</v>
      </c>
      <c r="J15" s="502">
        <f>F15/$E$9</f>
        <v>3708.9698843128776</v>
      </c>
      <c r="L15" s="468"/>
      <c r="M15" s="468"/>
      <c r="Q15" s="478"/>
      <c r="Y15" s="97"/>
      <c r="Z15" s="97"/>
    </row>
    <row r="16" spans="2:26" ht="36.75" customHeight="1" x14ac:dyDescent="0.25">
      <c r="B16" s="4"/>
      <c r="C16" s="4"/>
      <c r="D16" s="6" t="str">
        <f>+'Presupuesto Interno'!C14</f>
        <v>1.3 Cobertura de licencias (Horas-Hombre)</v>
      </c>
      <c r="E16" s="550"/>
      <c r="F16" s="199">
        <f>+'Presupuesto Interno'!E14</f>
        <v>0</v>
      </c>
      <c r="G16" s="211">
        <v>0.04</v>
      </c>
      <c r="H16" s="50">
        <f>+F16/(1-G16)</f>
        <v>0</v>
      </c>
      <c r="L16" s="468"/>
      <c r="M16" s="468"/>
      <c r="Q16" s="478"/>
      <c r="Z16" s="479"/>
    </row>
    <row r="17" spans="2:17" ht="36.75" customHeight="1" x14ac:dyDescent="0.25">
      <c r="B17" s="4"/>
      <c r="C17" s="4"/>
      <c r="D17" s="6" t="str">
        <f>+'Presupuesto Interno'!C15</f>
        <v>1.4 Mano de Obra Eventual</v>
      </c>
      <c r="E17" s="549"/>
      <c r="F17" s="199">
        <f>+'Presupuesto Interno'!E15</f>
        <v>0</v>
      </c>
      <c r="G17" s="211">
        <v>0.04</v>
      </c>
      <c r="H17" s="50">
        <f>+F17/(1-G17)</f>
        <v>0</v>
      </c>
      <c r="L17" s="468"/>
      <c r="M17" s="468"/>
      <c r="Q17" s="478"/>
    </row>
    <row r="18" spans="2:17" ht="6" customHeight="1" thickBot="1" x14ac:dyDescent="0.35">
      <c r="B18" s="4"/>
      <c r="C18" s="4"/>
      <c r="D18" s="4"/>
      <c r="E18" s="8"/>
      <c r="F18" s="64"/>
      <c r="G18" s="44"/>
      <c r="H18" s="51"/>
      <c r="L18" s="468"/>
      <c r="M18" s="468"/>
      <c r="Q18" s="478"/>
    </row>
    <row r="19" spans="2:17" ht="19.8" thickBot="1" x14ac:dyDescent="0.65">
      <c r="B19" s="737" t="s">
        <v>131</v>
      </c>
      <c r="C19" s="738"/>
      <c r="D19" s="738"/>
      <c r="E19" s="7"/>
      <c r="F19" s="46">
        <f>SUM(F20:F23)</f>
        <v>0</v>
      </c>
      <c r="G19" s="47" t="e">
        <f>+(H19-F19)/H19</f>
        <v>#DIV/0!</v>
      </c>
      <c r="H19" s="48">
        <f>SUM(H20:H23)</f>
        <v>0</v>
      </c>
      <c r="I19" s="48">
        <f>H19/$E$9</f>
        <v>0</v>
      </c>
      <c r="J19" s="63">
        <f>+H19/$H$7</f>
        <v>0</v>
      </c>
      <c r="K19" s="63">
        <v>0</v>
      </c>
      <c r="L19" s="468"/>
      <c r="M19" s="468"/>
      <c r="Q19" s="478"/>
    </row>
    <row r="20" spans="2:17" x14ac:dyDescent="0.25">
      <c r="B20" s="4"/>
      <c r="C20" s="4"/>
      <c r="D20" s="6" t="str">
        <f>+'Presupuesto Interno'!C20</f>
        <v>2.1 Materiales Mecánicos</v>
      </c>
      <c r="E20" s="7"/>
      <c r="F20" s="199">
        <f>+'Presupuesto Interno'!E20</f>
        <v>0</v>
      </c>
      <c r="G20" s="211">
        <v>0</v>
      </c>
      <c r="H20" s="50">
        <f>+F20/(1-G20)</f>
        <v>0</v>
      </c>
      <c r="I20" s="49"/>
      <c r="L20" s="468"/>
      <c r="M20" s="468"/>
      <c r="Q20" s="478"/>
    </row>
    <row r="21" spans="2:17" x14ac:dyDescent="0.25">
      <c r="B21" s="4"/>
      <c r="C21" s="4"/>
      <c r="D21" s="6" t="str">
        <f>+'Presupuesto Interno'!C21</f>
        <v>2.2 Materiales Eléctricos</v>
      </c>
      <c r="E21" s="7"/>
      <c r="F21" s="199">
        <f>+'Presupuesto Interno'!E21</f>
        <v>0</v>
      </c>
      <c r="G21" s="211">
        <v>0</v>
      </c>
      <c r="H21" s="50">
        <f>+F21/(1-G21)</f>
        <v>0</v>
      </c>
      <c r="L21" s="468"/>
      <c r="M21" s="468"/>
      <c r="Q21" s="478"/>
    </row>
    <row r="22" spans="2:17" x14ac:dyDescent="0.25">
      <c r="B22" s="4"/>
      <c r="C22" s="4"/>
      <c r="D22" s="6" t="str">
        <f>+'Presupuesto Interno'!C22</f>
        <v>2.3 Materiales de Automación e Informática</v>
      </c>
      <c r="E22" s="7"/>
      <c r="F22" s="199">
        <f>+'Presupuesto Interno'!E22</f>
        <v>0</v>
      </c>
      <c r="G22" s="211">
        <v>0</v>
      </c>
      <c r="H22" s="50">
        <f>+F22/(1-G22)</f>
        <v>0</v>
      </c>
      <c r="L22" s="468"/>
      <c r="M22" s="468"/>
      <c r="Q22" s="478"/>
    </row>
    <row r="23" spans="2:17" x14ac:dyDescent="0.25">
      <c r="B23" s="4"/>
      <c r="C23" s="4"/>
      <c r="D23" s="6" t="str">
        <f>+'Presupuesto Interno'!C23</f>
        <v>2.4 Materiales Diversos</v>
      </c>
      <c r="E23" s="7"/>
      <c r="F23" s="199">
        <f>+'Presupuesto Interno'!E23</f>
        <v>0</v>
      </c>
      <c r="G23" s="211">
        <v>0</v>
      </c>
      <c r="H23" s="50">
        <f>+F23/(1-G23)</f>
        <v>0</v>
      </c>
      <c r="L23" s="468"/>
      <c r="M23" s="468"/>
      <c r="Q23" s="478"/>
    </row>
    <row r="24" spans="2:17" ht="6" customHeight="1" thickBot="1" x14ac:dyDescent="0.35">
      <c r="B24" s="4"/>
      <c r="C24" s="4"/>
      <c r="D24" s="4"/>
      <c r="E24" s="8"/>
      <c r="F24" s="64"/>
      <c r="G24" s="44"/>
      <c r="H24" s="51"/>
      <c r="L24" s="468"/>
      <c r="M24" s="468"/>
      <c r="O24" s="468"/>
      <c r="P24" s="468"/>
      <c r="Q24" s="478"/>
    </row>
    <row r="25" spans="2:17" ht="19.8" thickBot="1" x14ac:dyDescent="0.65">
      <c r="B25" s="737" t="s">
        <v>132</v>
      </c>
      <c r="C25" s="738"/>
      <c r="D25" s="738"/>
      <c r="E25" s="53"/>
      <c r="F25" s="46">
        <f>SUM(F26:F31)</f>
        <v>2787372.8342245989</v>
      </c>
      <c r="G25" s="66">
        <f>(H25-F25)/H25</f>
        <v>5.0000000000000093E-2</v>
      </c>
      <c r="H25" s="48">
        <f>SUM(H26:H31)</f>
        <v>2934076.6676048413</v>
      </c>
      <c r="I25" s="48">
        <f>H25/$E$9</f>
        <v>2241.4642227691684</v>
      </c>
      <c r="J25" s="63">
        <f>+H25/$H$7</f>
        <v>6.4249086316260501E-2</v>
      </c>
      <c r="K25" s="63">
        <v>3.3793843211115081E-2</v>
      </c>
      <c r="L25" s="468"/>
      <c r="M25" s="468"/>
      <c r="N25" s="468"/>
      <c r="Q25" s="478"/>
    </row>
    <row r="26" spans="2:17" x14ac:dyDescent="0.25">
      <c r="B26" s="4"/>
      <c r="C26" s="4"/>
      <c r="D26" s="6" t="str">
        <f>+'Presupuesto Interno'!C26</f>
        <v>3.1 Insumos consumibles (Insumos de Mantenimto y operación)</v>
      </c>
      <c r="E26" s="551"/>
      <c r="F26" s="199">
        <f>+'Presupuesto Interno'!E26</f>
        <v>523600</v>
      </c>
      <c r="G26" s="211">
        <v>0.05</v>
      </c>
      <c r="H26" s="50">
        <f t="shared" ref="H26:H31" si="1">+F26/(1-G26)</f>
        <v>551157.89473684214</v>
      </c>
      <c r="I26" s="49"/>
      <c r="J26" s="502">
        <f>F26/$E$9</f>
        <v>400</v>
      </c>
      <c r="L26" s="468"/>
      <c r="M26" s="468"/>
      <c r="N26" s="468"/>
      <c r="Q26" s="478"/>
    </row>
    <row r="27" spans="2:17" x14ac:dyDescent="0.25">
      <c r="B27" s="4"/>
      <c r="C27" s="4"/>
      <c r="D27" s="6" t="str">
        <f>+'Presupuesto Interno'!C27</f>
        <v>3.2 Combustibles, filtros y lubricantes de Rodados y Máquinas</v>
      </c>
      <c r="E27" s="551"/>
      <c r="F27" s="199">
        <f>+'Presupuesto Interno'!E27</f>
        <v>1400000</v>
      </c>
      <c r="G27" s="211">
        <v>0.05</v>
      </c>
      <c r="H27" s="50">
        <f t="shared" si="1"/>
        <v>1473684.210526316</v>
      </c>
      <c r="J27" s="502">
        <f>F27/$E$9</f>
        <v>1069.5187165775401</v>
      </c>
      <c r="L27" s="468"/>
      <c r="M27" s="468"/>
      <c r="Q27" s="478"/>
    </row>
    <row r="28" spans="2:17" x14ac:dyDescent="0.25">
      <c r="B28" s="4"/>
      <c r="C28" s="4"/>
      <c r="D28" s="6" t="str">
        <f>+'Presupuesto Interno'!C28</f>
        <v>3.3 Insumos informáticos y de Oficina</v>
      </c>
      <c r="E28" s="551"/>
      <c r="F28" s="199">
        <f>+'Presupuesto Interno'!E28</f>
        <v>15000</v>
      </c>
      <c r="G28" s="211">
        <v>0.05</v>
      </c>
      <c r="H28" s="50">
        <f t="shared" si="1"/>
        <v>15789.473684210527</v>
      </c>
      <c r="J28" s="502">
        <f>F28/$E$9</f>
        <v>11.45912910618793</v>
      </c>
      <c r="L28" s="468"/>
      <c r="M28" s="468"/>
      <c r="Q28" s="478"/>
    </row>
    <row r="29" spans="2:17" x14ac:dyDescent="0.25">
      <c r="B29" s="4"/>
      <c r="C29" s="4"/>
      <c r="D29" s="6" t="str">
        <f>+'Presupuesto Interno'!C29</f>
        <v>3.4 Insumos de Limpieza y Cafetería</v>
      </c>
      <c r="E29" s="551"/>
      <c r="F29" s="199">
        <f>+'Presupuesto Interno'!E29</f>
        <v>15000</v>
      </c>
      <c r="G29" s="211">
        <v>0.05</v>
      </c>
      <c r="H29" s="50">
        <f t="shared" si="1"/>
        <v>15789.473684210527</v>
      </c>
      <c r="J29" s="502">
        <f>F29/$E$9</f>
        <v>11.45912910618793</v>
      </c>
      <c r="L29" s="468"/>
      <c r="M29" s="468"/>
      <c r="Q29" s="478"/>
    </row>
    <row r="30" spans="2:17" x14ac:dyDescent="0.25">
      <c r="B30" s="4"/>
      <c r="C30" s="4"/>
      <c r="D30" s="6" t="str">
        <f>+'Presupuesto Interno'!C30</f>
        <v>3.5 Elementos de Protección Personal y de Seguridad Especiales</v>
      </c>
      <c r="E30" s="551"/>
      <c r="F30" s="199">
        <f>+'Presupuesto Interno'!E30</f>
        <v>833772.83422459895</v>
      </c>
      <c r="G30" s="211">
        <v>0.05</v>
      </c>
      <c r="H30" s="50">
        <f t="shared" si="1"/>
        <v>877655.61497326207</v>
      </c>
      <c r="J30" s="502">
        <f>F30/$E$9</f>
        <v>636.95403684079372</v>
      </c>
      <c r="L30" s="468"/>
      <c r="M30" s="468"/>
      <c r="Q30" s="478"/>
    </row>
    <row r="31" spans="2:17" x14ac:dyDescent="0.25">
      <c r="B31" s="4"/>
      <c r="C31" s="4"/>
      <c r="D31" s="6" t="str">
        <f>+'Presupuesto Interno'!C31</f>
        <v>3.6 Insumos Diversos</v>
      </c>
      <c r="E31" s="551"/>
      <c r="F31" s="199">
        <f>+'Presupuesto Interno'!E31</f>
        <v>0</v>
      </c>
      <c r="G31" s="211">
        <v>0.05</v>
      </c>
      <c r="H31" s="50">
        <f t="shared" si="1"/>
        <v>0</v>
      </c>
      <c r="L31" s="468"/>
      <c r="M31" s="468"/>
      <c r="Q31" s="478"/>
    </row>
    <row r="32" spans="2:17" ht="6" customHeight="1" thickBot="1" x14ac:dyDescent="0.35">
      <c r="B32" s="4"/>
      <c r="C32" s="4"/>
      <c r="D32" s="4"/>
      <c r="E32" s="8"/>
      <c r="F32" s="64"/>
      <c r="G32" s="44"/>
      <c r="H32" s="51"/>
      <c r="L32" s="468"/>
      <c r="M32" s="468"/>
      <c r="N32" s="468"/>
      <c r="Q32" s="478"/>
    </row>
    <row r="33" spans="2:17" ht="19.8" thickBot="1" x14ac:dyDescent="0.65">
      <c r="B33" s="737" t="s">
        <v>133</v>
      </c>
      <c r="C33" s="738"/>
      <c r="D33" s="738"/>
      <c r="E33" s="9"/>
      <c r="F33" s="46">
        <f>SUM(F34:F38)</f>
        <v>100000</v>
      </c>
      <c r="G33" s="47">
        <f>+(H33-F33)/H33</f>
        <v>4.9999999999999982E-2</v>
      </c>
      <c r="H33" s="48">
        <f>SUM(H34:H38)</f>
        <v>105263.15789473684</v>
      </c>
      <c r="I33" s="48">
        <f>H33/$E$9</f>
        <v>80.414941096055642</v>
      </c>
      <c r="J33" s="63">
        <f>+H33/$H$7</f>
        <v>2.3050051118882172E-3</v>
      </c>
      <c r="K33" s="63">
        <v>9.3456853975344006E-3</v>
      </c>
      <c r="L33" s="468"/>
      <c r="M33" s="468"/>
      <c r="Q33" s="478"/>
    </row>
    <row r="34" spans="2:17" x14ac:dyDescent="0.25">
      <c r="B34" s="4"/>
      <c r="C34" s="4"/>
      <c r="D34" s="6" t="str">
        <f>+'Presupuesto Interno'!C34</f>
        <v>4.1 Honorarios Profesionales</v>
      </c>
      <c r="E34" s="7"/>
      <c r="F34" s="199">
        <f>+'Presupuesto Interno'!E34</f>
        <v>100000</v>
      </c>
      <c r="G34" s="211">
        <v>0.05</v>
      </c>
      <c r="H34" s="50">
        <f>+F34/(1-G34)</f>
        <v>105263.15789473684</v>
      </c>
      <c r="I34" s="49"/>
      <c r="J34" s="502">
        <f>F34/$E$9</f>
        <v>76.39419404125286</v>
      </c>
      <c r="L34" s="468"/>
      <c r="M34" s="468"/>
      <c r="Q34" s="478"/>
    </row>
    <row r="35" spans="2:17" x14ac:dyDescent="0.25">
      <c r="B35" s="4"/>
      <c r="C35" s="4"/>
      <c r="D35" s="6" t="str">
        <f>+'Presupuesto Interno'!C35</f>
        <v>4.2 Servicios Técnicos Especializados</v>
      </c>
      <c r="E35" s="7"/>
      <c r="F35" s="199">
        <f>+'Presupuesto Interno'!E35</f>
        <v>0</v>
      </c>
      <c r="G35" s="211">
        <v>0.05</v>
      </c>
      <c r="H35" s="50">
        <f>+F35/(1-G35)</f>
        <v>0</v>
      </c>
      <c r="J35" s="502">
        <f>F35/$E$9</f>
        <v>0</v>
      </c>
      <c r="L35" s="468"/>
      <c r="M35" s="468"/>
      <c r="Q35" s="478"/>
    </row>
    <row r="36" spans="2:17" x14ac:dyDescent="0.25">
      <c r="B36" s="4"/>
      <c r="C36" s="4"/>
      <c r="D36" s="6" t="str">
        <f>+'Presupuesto Interno'!C36</f>
        <v>4.3 Transportes, Fletes, Carga y descarga</v>
      </c>
      <c r="E36" s="7"/>
      <c r="F36" s="199">
        <f>+'Presupuesto Interno'!E36</f>
        <v>0</v>
      </c>
      <c r="G36" s="211">
        <v>0.05</v>
      </c>
      <c r="H36" s="50">
        <f>+F36/(1-G36)</f>
        <v>0</v>
      </c>
      <c r="J36" s="502">
        <f>F36/$E$9</f>
        <v>0</v>
      </c>
      <c r="L36" s="468"/>
      <c r="M36" s="468"/>
      <c r="Q36" s="478"/>
    </row>
    <row r="37" spans="2:17" x14ac:dyDescent="0.25">
      <c r="B37" s="4"/>
      <c r="C37" s="4"/>
      <c r="D37" s="6" t="str">
        <f>+'Presupuesto Interno'!C37</f>
        <v>4.4 Trabajos ejecutados por Terceros</v>
      </c>
      <c r="E37" s="7"/>
      <c r="F37" s="199">
        <f>+'Presupuesto Interno'!E37</f>
        <v>0</v>
      </c>
      <c r="G37" s="211">
        <v>0.05</v>
      </c>
      <c r="H37" s="50">
        <f>+F37/(1-G37)</f>
        <v>0</v>
      </c>
      <c r="J37" s="502">
        <f>F37/$E$9</f>
        <v>0</v>
      </c>
      <c r="L37" s="468"/>
      <c r="M37" s="468"/>
      <c r="Q37" s="478"/>
    </row>
    <row r="38" spans="2:17" x14ac:dyDescent="0.25">
      <c r="B38" s="4"/>
      <c r="C38" s="4"/>
      <c r="D38" s="6" t="str">
        <f>+'Presupuesto Interno'!C38</f>
        <v>4.5 Servicio Varios / Otros</v>
      </c>
      <c r="E38" s="7"/>
      <c r="F38" s="199">
        <f>+'Presupuesto Interno'!E38</f>
        <v>0</v>
      </c>
      <c r="G38" s="211">
        <v>0.05</v>
      </c>
      <c r="H38" s="50">
        <f>+F38/(1-G38)</f>
        <v>0</v>
      </c>
      <c r="J38" s="502">
        <f>F38/$E$9</f>
        <v>0</v>
      </c>
      <c r="L38" s="468"/>
      <c r="M38" s="468"/>
      <c r="O38" s="468"/>
      <c r="P38" s="468"/>
      <c r="Q38" s="478"/>
    </row>
    <row r="39" spans="2:17" ht="6" customHeight="1" thickBot="1" x14ac:dyDescent="0.3">
      <c r="B39" s="4"/>
      <c r="C39" s="4"/>
      <c r="D39" s="4"/>
      <c r="E39" s="8"/>
      <c r="F39" s="64"/>
      <c r="G39" s="44"/>
      <c r="H39" s="64"/>
      <c r="L39" s="468"/>
      <c r="M39" s="468"/>
      <c r="Q39" s="478"/>
    </row>
    <row r="40" spans="2:17" ht="19.8" thickBot="1" x14ac:dyDescent="0.65">
      <c r="B40" s="737" t="s">
        <v>134</v>
      </c>
      <c r="C40" s="738"/>
      <c r="D40" s="738"/>
      <c r="E40" s="9"/>
      <c r="F40" s="46">
        <f>SUM(F41:F46)</f>
        <v>3906741.7553004646</v>
      </c>
      <c r="G40" s="47">
        <f>+(H40-F40)/H40</f>
        <v>5.0000000000000148E-2</v>
      </c>
      <c r="H40" s="48">
        <f>SUM(H41:H46)</f>
        <v>4112359.7424215423</v>
      </c>
      <c r="I40" s="48">
        <f>H40/$E$9</f>
        <v>3141.6040812998795</v>
      </c>
      <c r="J40" s="63">
        <f>+H40/$H$7</f>
        <v>9.0050597167947194E-2</v>
      </c>
      <c r="K40" s="63">
        <v>6.5203183442479593E-2</v>
      </c>
      <c r="L40" s="468"/>
      <c r="M40" s="468"/>
      <c r="O40" s="468"/>
      <c r="P40" s="468"/>
      <c r="Q40" s="478"/>
    </row>
    <row r="41" spans="2:17" x14ac:dyDescent="0.25">
      <c r="B41" s="4"/>
      <c r="C41" s="4"/>
      <c r="D41" s="6" t="str">
        <f>+'Presupuesto Interno'!C41</f>
        <v>5.1 Amortizacion de Rodados</v>
      </c>
      <c r="E41" s="7"/>
      <c r="F41" s="199">
        <f>+'Presupuesto Interno'!E41</f>
        <v>2804158.0349838641</v>
      </c>
      <c r="G41" s="211">
        <v>0.05</v>
      </c>
      <c r="H41" s="50">
        <f t="shared" ref="H41:H46" si="2">+F41/(1-G41)</f>
        <v>2951745.2999830148</v>
      </c>
      <c r="I41" s="49"/>
      <c r="J41" s="502">
        <f t="shared" ref="J41:J46" si="3">F41/$E$9</f>
        <v>2142.2139304689563</v>
      </c>
      <c r="L41" s="468"/>
      <c r="M41" s="468"/>
      <c r="N41" s="468"/>
      <c r="Q41" s="478"/>
    </row>
    <row r="42" spans="2:17" x14ac:dyDescent="0.25">
      <c r="B42" s="4"/>
      <c r="C42" s="4"/>
      <c r="D42" s="6" t="str">
        <f>+'Presupuesto Interno'!C42</f>
        <v>5.2 Amortización de Muebles y Útiles</v>
      </c>
      <c r="E42" s="7"/>
      <c r="F42" s="199">
        <f>+'Presupuesto Interno'!E42</f>
        <v>141839.3949344272</v>
      </c>
      <c r="G42" s="211">
        <v>0.05</v>
      </c>
      <c r="H42" s="50">
        <f t="shared" si="2"/>
        <v>149304.62624676549</v>
      </c>
      <c r="J42" s="502">
        <f t="shared" si="3"/>
        <v>108.3570625931453</v>
      </c>
      <c r="K42" s="28">
        <f>F42/H7</f>
        <v>3.1059350387143709E-3</v>
      </c>
      <c r="L42" s="468"/>
      <c r="M42" s="468"/>
      <c r="N42" s="468"/>
      <c r="O42" s="468"/>
      <c r="Q42" s="478"/>
    </row>
    <row r="43" spans="2:17" x14ac:dyDescent="0.25">
      <c r="B43" s="4"/>
      <c r="C43" s="4"/>
      <c r="D43" s="6" t="str">
        <f>+'Presupuesto Interno'!C43</f>
        <v>5.3 Amortización de Instalaciones y adecuación de locales</v>
      </c>
      <c r="E43" s="7"/>
      <c r="F43" s="199">
        <f>+'Presupuesto Interno'!E43</f>
        <v>0</v>
      </c>
      <c r="G43" s="211">
        <v>0.05</v>
      </c>
      <c r="H43" s="50">
        <f t="shared" si="2"/>
        <v>0</v>
      </c>
      <c r="J43" s="502">
        <f t="shared" si="3"/>
        <v>0</v>
      </c>
      <c r="L43" s="468"/>
      <c r="M43" s="468"/>
      <c r="P43" s="468"/>
      <c r="Q43" s="478"/>
    </row>
    <row r="44" spans="2:17" x14ac:dyDescent="0.25">
      <c r="B44" s="4"/>
      <c r="C44" s="4"/>
      <c r="D44" s="6" t="str">
        <f>+'Presupuesto Interno'!C44</f>
        <v>5.4 Amortización de Medios Informáticos y de Comunicación</v>
      </c>
      <c r="E44" s="7"/>
      <c r="F44" s="199">
        <f>+'Presupuesto Interno'!E44</f>
        <v>156931.41039119262</v>
      </c>
      <c r="G44" s="211">
        <v>0.05</v>
      </c>
      <c r="H44" s="50">
        <f t="shared" si="2"/>
        <v>165190.95830651856</v>
      </c>
      <c r="J44" s="502">
        <f t="shared" si="3"/>
        <v>119.88648616592255</v>
      </c>
      <c r="L44" s="468"/>
      <c r="M44" s="468"/>
      <c r="Q44" s="478"/>
    </row>
    <row r="45" spans="2:17" x14ac:dyDescent="0.25">
      <c r="B45" s="4"/>
      <c r="C45" s="4"/>
      <c r="D45" s="6" t="str">
        <f>+'Presupuesto Interno'!C45</f>
        <v>5.5 Amortización de Máquinas y Herramientas</v>
      </c>
      <c r="E45" s="7"/>
      <c r="F45" s="199">
        <f>+'Presupuesto Interno'!E45</f>
        <v>803812.91499098111</v>
      </c>
      <c r="G45" s="211">
        <v>0.05</v>
      </c>
      <c r="H45" s="50">
        <f t="shared" si="2"/>
        <v>846118.85788524325</v>
      </c>
      <c r="J45" s="502">
        <f t="shared" si="3"/>
        <v>614.06639800686105</v>
      </c>
      <c r="L45" s="468"/>
      <c r="M45" s="468"/>
      <c r="Q45" s="478"/>
    </row>
    <row r="46" spans="2:17" x14ac:dyDescent="0.25">
      <c r="B46" s="4"/>
      <c r="C46" s="4"/>
      <c r="D46" s="6" t="str">
        <f>+'Presupuesto Interno'!C46</f>
        <v>5.6 Amortización de Gastos de Implementación</v>
      </c>
      <c r="E46" s="7"/>
      <c r="F46" s="199">
        <f>+'Presupuesto Interno'!E46</f>
        <v>0</v>
      </c>
      <c r="G46" s="211">
        <v>0.05</v>
      </c>
      <c r="H46" s="50">
        <f t="shared" si="2"/>
        <v>0</v>
      </c>
      <c r="I46" s="49"/>
      <c r="J46" s="502">
        <f t="shared" si="3"/>
        <v>0</v>
      </c>
      <c r="L46" s="468"/>
      <c r="M46" s="468"/>
      <c r="Q46" s="478"/>
    </row>
    <row r="47" spans="2:17" ht="6" customHeight="1" thickBot="1" x14ac:dyDescent="0.35">
      <c r="B47" s="4"/>
      <c r="C47" s="4"/>
      <c r="D47" s="4"/>
      <c r="E47" s="8"/>
      <c r="F47" s="64"/>
      <c r="G47" s="44"/>
      <c r="H47" s="51"/>
      <c r="L47" s="468"/>
      <c r="M47" s="468"/>
      <c r="Q47" s="478"/>
    </row>
    <row r="48" spans="2:17" ht="19.8" thickBot="1" x14ac:dyDescent="0.65">
      <c r="B48" s="737" t="s">
        <v>135</v>
      </c>
      <c r="C48" s="738"/>
      <c r="D48" s="738"/>
      <c r="E48" s="9"/>
      <c r="F48" s="46">
        <f>F50+F55+F61+F67+F73+F80+F88</f>
        <v>2137560</v>
      </c>
      <c r="G48" s="47">
        <f>+(H48-F48)/H48</f>
        <v>5.0000000000000107E-2</v>
      </c>
      <c r="H48" s="48">
        <f>+H50+H55+H61+H67+H73+H80+H88</f>
        <v>2250063.1578947371</v>
      </c>
      <c r="I48" s="48">
        <f>H48/$E$9</f>
        <v>1718.9176148928473</v>
      </c>
      <c r="J48" s="63">
        <f>+H48/$H$7</f>
        <v>4.9270867269677783E-2</v>
      </c>
      <c r="K48" s="63">
        <v>6.878864117816777E-2</v>
      </c>
      <c r="L48" s="468"/>
      <c r="M48" s="468"/>
      <c r="N48" s="468"/>
      <c r="Q48" s="478"/>
    </row>
    <row r="49" spans="2:17" ht="6" customHeight="1" thickBot="1" x14ac:dyDescent="0.35">
      <c r="B49" s="10"/>
      <c r="C49" s="4"/>
      <c r="D49" s="4"/>
      <c r="E49" s="8"/>
      <c r="F49" s="64"/>
      <c r="G49" s="44"/>
      <c r="H49" s="51"/>
      <c r="L49" s="468"/>
      <c r="M49" s="468"/>
      <c r="N49" s="468"/>
      <c r="Q49" s="478"/>
    </row>
    <row r="50" spans="2:17" ht="14.4" thickBot="1" x14ac:dyDescent="0.3">
      <c r="B50" s="4"/>
      <c r="C50" s="737" t="s">
        <v>136</v>
      </c>
      <c r="D50" s="738"/>
      <c r="E50" s="9"/>
      <c r="F50" s="120">
        <f>SUM(F51:F53)</f>
        <v>250060</v>
      </c>
      <c r="G50" s="52">
        <f>+(H50-F50)/H50</f>
        <v>5.0000000000000155E-2</v>
      </c>
      <c r="H50" s="54">
        <f>SUM(H51:H53)</f>
        <v>263221.05263157899</v>
      </c>
      <c r="I50" s="42"/>
      <c r="J50" s="470"/>
      <c r="K50" s="470">
        <v>1.0604143053833452</v>
      </c>
      <c r="L50" s="468"/>
      <c r="M50" s="468"/>
      <c r="N50" s="468"/>
      <c r="Q50" s="478"/>
    </row>
    <row r="51" spans="2:17" x14ac:dyDescent="0.25">
      <c r="B51" s="4"/>
      <c r="C51" s="4"/>
      <c r="D51" s="6" t="str">
        <f>+'Presupuesto Interno'!C51</f>
        <v>6.1.1 Servicio de Correos y Bolsas</v>
      </c>
      <c r="E51" s="7"/>
      <c r="F51" s="199">
        <f>+'Presupuesto Interno'!E51</f>
        <v>150000</v>
      </c>
      <c r="G51" s="211">
        <v>0.05</v>
      </c>
      <c r="H51" s="50">
        <f>+F51/(1-G51)</f>
        <v>157894.73684210528</v>
      </c>
      <c r="I51" s="49"/>
      <c r="J51" s="502">
        <f>F51/$E$9</f>
        <v>114.5912910618793</v>
      </c>
      <c r="L51" s="468"/>
      <c r="M51" s="468"/>
      <c r="Q51" s="478"/>
    </row>
    <row r="52" spans="2:17" x14ac:dyDescent="0.25">
      <c r="B52" s="4"/>
      <c r="C52" s="4"/>
      <c r="D52" s="6" t="str">
        <f>+'Presupuesto Interno'!C52</f>
        <v>6.1.2 Servicio de Telecomunicación</v>
      </c>
      <c r="E52" s="7"/>
      <c r="F52" s="199">
        <f>+'Presupuesto Interno'!E52</f>
        <v>100060</v>
      </c>
      <c r="G52" s="211">
        <v>0.05</v>
      </c>
      <c r="H52" s="50">
        <f>+F52/(1-G52)</f>
        <v>105326.31578947369</v>
      </c>
      <c r="J52" s="502">
        <f>F52/$E$9</f>
        <v>76.440030557677616</v>
      </c>
      <c r="L52" s="468"/>
      <c r="M52" s="468"/>
      <c r="Q52" s="478"/>
    </row>
    <row r="53" spans="2:17" x14ac:dyDescent="0.25">
      <c r="B53" s="4"/>
      <c r="C53" s="4"/>
      <c r="D53" s="6" t="str">
        <f>+'Presupuesto Interno'!C53</f>
        <v>6.1.3 Servicios esenciales (Electricidad, Agua y Gas)</v>
      </c>
      <c r="E53" s="7"/>
      <c r="F53" s="199">
        <f>+'Presupuesto Interno'!E53</f>
        <v>0</v>
      </c>
      <c r="G53" s="211">
        <v>0.05</v>
      </c>
      <c r="H53" s="50">
        <f>+F53/(1-G53)</f>
        <v>0</v>
      </c>
      <c r="J53" s="502">
        <f>F53/$E$9</f>
        <v>0</v>
      </c>
      <c r="L53" s="468"/>
      <c r="M53" s="468"/>
      <c r="Q53" s="478"/>
    </row>
    <row r="54" spans="2:17" ht="6" customHeight="1" thickBot="1" x14ac:dyDescent="0.3">
      <c r="B54" s="4"/>
      <c r="C54" s="4"/>
      <c r="D54" s="4"/>
      <c r="E54" s="8"/>
      <c r="F54" s="64"/>
      <c r="G54" s="44"/>
      <c r="H54" s="55"/>
      <c r="L54" s="468"/>
      <c r="M54" s="468"/>
      <c r="Q54" s="478"/>
    </row>
    <row r="55" spans="2:17" ht="14.4" thickBot="1" x14ac:dyDescent="0.3">
      <c r="B55" s="4"/>
      <c r="C55" s="737" t="s">
        <v>137</v>
      </c>
      <c r="D55" s="738"/>
      <c r="E55" s="9"/>
      <c r="F55" s="120">
        <f>SUM(F56:F59)</f>
        <v>0</v>
      </c>
      <c r="G55" s="52" t="e">
        <f>+(H55-F55)/H55</f>
        <v>#DIV/0!</v>
      </c>
      <c r="H55" s="54">
        <f>SUM(H56:H59)</f>
        <v>0</v>
      </c>
      <c r="I55" s="42"/>
      <c r="L55" s="468"/>
      <c r="M55" s="468"/>
      <c r="Q55" s="478"/>
    </row>
    <row r="56" spans="2:17" x14ac:dyDescent="0.25">
      <c r="B56" s="4"/>
      <c r="C56" s="4"/>
      <c r="D56" s="6" t="str">
        <f>+'Presupuesto Interno'!C56</f>
        <v>6.2.1 Locales</v>
      </c>
      <c r="E56" s="7"/>
      <c r="F56" s="199">
        <f>+'Presupuesto Interno'!E56</f>
        <v>0</v>
      </c>
      <c r="G56" s="211">
        <v>0.05</v>
      </c>
      <c r="H56" s="50">
        <f>+F56/(1-G56)</f>
        <v>0</v>
      </c>
      <c r="I56" s="49"/>
      <c r="L56" s="468"/>
      <c r="M56" s="468"/>
      <c r="Q56" s="478"/>
    </row>
    <row r="57" spans="2:17" x14ac:dyDescent="0.25">
      <c r="B57" s="4"/>
      <c r="C57" s="4"/>
      <c r="D57" s="6" t="str">
        <f>+'Presupuesto Interno'!C57</f>
        <v>6.2.2 Máquinas y equipos</v>
      </c>
      <c r="E57" s="7"/>
      <c r="F57" s="199">
        <f>+'Presupuesto Interno'!E57</f>
        <v>0</v>
      </c>
      <c r="G57" s="211">
        <v>0.05</v>
      </c>
      <c r="H57" s="50">
        <f>+F57/(1-G57)</f>
        <v>0</v>
      </c>
      <c r="L57" s="468"/>
      <c r="M57" s="468"/>
      <c r="Q57" s="478"/>
    </row>
    <row r="58" spans="2:17" x14ac:dyDescent="0.25">
      <c r="B58" s="4"/>
      <c r="C58" s="4"/>
      <c r="D58" s="6" t="str">
        <f>+'Presupuesto Interno'!C58</f>
        <v>6.2.3 Rodados</v>
      </c>
      <c r="E58" s="7"/>
      <c r="F58" s="199">
        <f>+'Presupuesto Interno'!E58</f>
        <v>0</v>
      </c>
      <c r="G58" s="211">
        <v>0.05</v>
      </c>
      <c r="H58" s="50">
        <f>+F58/(1-G58)</f>
        <v>0</v>
      </c>
      <c r="L58" s="468"/>
      <c r="M58" s="468"/>
      <c r="Q58" s="478"/>
    </row>
    <row r="59" spans="2:17" x14ac:dyDescent="0.25">
      <c r="B59" s="4"/>
      <c r="C59" s="4"/>
      <c r="D59" s="6" t="str">
        <f>+'Presupuesto Interno'!C59</f>
        <v>6.2.4 Fotocopiadora, fax y medios de Comunicación</v>
      </c>
      <c r="E59" s="7"/>
      <c r="F59" s="199">
        <f>+'Presupuesto Interno'!E59</f>
        <v>0</v>
      </c>
      <c r="G59" s="211">
        <v>0.05</v>
      </c>
      <c r="H59" s="50">
        <f>+F59/(1-G59)</f>
        <v>0</v>
      </c>
      <c r="L59" s="468"/>
      <c r="M59" s="468"/>
      <c r="P59" s="468"/>
      <c r="Q59" s="478"/>
    </row>
    <row r="60" spans="2:17" ht="6" customHeight="1" thickBot="1" x14ac:dyDescent="0.3">
      <c r="B60" s="4"/>
      <c r="C60" s="4"/>
      <c r="D60" s="4"/>
      <c r="E60" s="8"/>
      <c r="F60" s="64"/>
      <c r="G60" s="44"/>
      <c r="H60" s="55"/>
      <c r="L60" s="468"/>
      <c r="M60" s="468"/>
      <c r="N60" s="468"/>
      <c r="Q60" s="478"/>
    </row>
    <row r="61" spans="2:17" ht="14.4" thickBot="1" x14ac:dyDescent="0.3">
      <c r="B61" s="4"/>
      <c r="C61" s="739" t="s">
        <v>138</v>
      </c>
      <c r="D61" s="740"/>
      <c r="E61" s="11"/>
      <c r="F61" s="120">
        <f>SUM(F62:F65)</f>
        <v>344166.66666666669</v>
      </c>
      <c r="G61" s="52">
        <f>+(H61-F61)/H61</f>
        <v>4.999999999999992E-2</v>
      </c>
      <c r="H61" s="54">
        <f>SUM(H62:H65)</f>
        <v>362280.70175438595</v>
      </c>
      <c r="I61" s="42"/>
      <c r="L61" s="468"/>
      <c r="M61" s="468"/>
      <c r="N61" s="468"/>
      <c r="Q61" s="478"/>
    </row>
    <row r="62" spans="2:17" x14ac:dyDescent="0.25">
      <c r="B62" s="4"/>
      <c r="C62" s="4"/>
      <c r="D62" s="6" t="str">
        <f>+'Presupuesto Interno'!C62</f>
        <v>6.3.1 Repuestos de Máquinas y Equipos Propios</v>
      </c>
      <c r="E62" s="552"/>
      <c r="F62" s="199">
        <f>+'Presupuesto Interno'!E62</f>
        <v>40000</v>
      </c>
      <c r="G62" s="211">
        <v>0.05</v>
      </c>
      <c r="H62" s="50">
        <f>+F62/(1-G62)</f>
        <v>42105.26315789474</v>
      </c>
      <c r="I62" s="49"/>
      <c r="J62" s="502">
        <f>F62/$E$9</f>
        <v>30.557677616501145</v>
      </c>
      <c r="L62" s="468"/>
      <c r="M62" s="468"/>
      <c r="P62" s="468"/>
      <c r="Q62" s="478"/>
    </row>
    <row r="63" spans="2:17" x14ac:dyDescent="0.25">
      <c r="B63" s="4"/>
      <c r="C63" s="4"/>
      <c r="D63" s="6" t="str">
        <f>+'Presupuesto Interno'!C63</f>
        <v>6.3.2 Mantenimiento y Refacción de Locales</v>
      </c>
      <c r="E63" s="552"/>
      <c r="F63" s="199">
        <f>+'Presupuesto Interno'!E63</f>
        <v>0</v>
      </c>
      <c r="G63" s="211">
        <v>0.05</v>
      </c>
      <c r="H63" s="50">
        <f>+F63/(1-G63)</f>
        <v>0</v>
      </c>
      <c r="J63" s="502">
        <f>F63/$E$9</f>
        <v>0</v>
      </c>
      <c r="L63" s="468"/>
      <c r="M63" s="468"/>
      <c r="Q63" s="478"/>
    </row>
    <row r="64" spans="2:17" x14ac:dyDescent="0.25">
      <c r="B64" s="4"/>
      <c r="C64" s="4"/>
      <c r="D64" s="6" t="str">
        <f>+'Presupuesto Interno'!C64</f>
        <v>6.3.3 Mantenimiento Informático</v>
      </c>
      <c r="E64" s="552"/>
      <c r="F64" s="199">
        <f>+'Presupuesto Interno'!E64</f>
        <v>16666.666666666668</v>
      </c>
      <c r="G64" s="211">
        <v>0.05</v>
      </c>
      <c r="H64" s="50">
        <f>+F64/(1-G64)</f>
        <v>17543.859649122809</v>
      </c>
      <c r="J64" s="502">
        <f>F64/$E$9</f>
        <v>12.732365673542144</v>
      </c>
      <c r="L64" s="468"/>
      <c r="M64" s="468"/>
      <c r="Q64" s="478"/>
    </row>
    <row r="65" spans="2:17" x14ac:dyDescent="0.25">
      <c r="B65" s="4"/>
      <c r="C65" s="4"/>
      <c r="D65" s="6" t="str">
        <f>+'Presupuesto Interno'!C65</f>
        <v>6.3.4 Mantenimiento de Rodados</v>
      </c>
      <c r="E65" s="552"/>
      <c r="F65" s="199">
        <f>+'Presupuesto Interno'!E65</f>
        <v>287500</v>
      </c>
      <c r="G65" s="211">
        <v>0.05</v>
      </c>
      <c r="H65" s="50">
        <f>+F65/(1-G65)</f>
        <v>302631.57894736843</v>
      </c>
      <c r="J65" s="502">
        <f>F65/$E$9</f>
        <v>219.63330786860197</v>
      </c>
      <c r="L65" s="468"/>
      <c r="M65" s="468"/>
      <c r="Q65" s="478"/>
    </row>
    <row r="66" spans="2:17" ht="6" customHeight="1" thickBot="1" x14ac:dyDescent="0.3">
      <c r="B66" s="4"/>
      <c r="C66" s="4"/>
      <c r="D66" s="4"/>
      <c r="E66" s="8"/>
      <c r="F66" s="64"/>
      <c r="G66" s="44"/>
      <c r="H66" s="55"/>
      <c r="L66" s="468"/>
      <c r="M66" s="468"/>
      <c r="O66" s="468"/>
      <c r="Q66" s="478"/>
    </row>
    <row r="67" spans="2:17" ht="14.4" thickBot="1" x14ac:dyDescent="0.3">
      <c r="B67" s="4"/>
      <c r="C67" s="737" t="s">
        <v>139</v>
      </c>
      <c r="D67" s="738"/>
      <c r="E67" s="9"/>
      <c r="F67" s="120">
        <f>SUM(F68:F71)</f>
        <v>60000</v>
      </c>
      <c r="G67" s="52">
        <f>+(H67-F67)/H67</f>
        <v>5.0000000000000024E-2</v>
      </c>
      <c r="H67" s="54">
        <f>SUM(H68:H71)</f>
        <v>63157.894736842107</v>
      </c>
      <c r="I67" s="42"/>
      <c r="L67" s="468"/>
      <c r="M67" s="468"/>
      <c r="Q67" s="478"/>
    </row>
    <row r="68" spans="2:17" x14ac:dyDescent="0.25">
      <c r="B68" s="4"/>
      <c r="C68" s="4"/>
      <c r="D68" s="6" t="str">
        <f>+'Presupuesto Interno'!C68</f>
        <v>6.4.1 Reposición de Medios en Comodato</v>
      </c>
      <c r="E68" s="552"/>
      <c r="F68" s="199">
        <f>+'Presupuesto Interno'!E68</f>
        <v>0</v>
      </c>
      <c r="G68" s="211">
        <v>0.05</v>
      </c>
      <c r="H68" s="50">
        <f>+F68/(1-G68)</f>
        <v>0</v>
      </c>
      <c r="I68" s="49"/>
      <c r="J68" s="502">
        <f>F68/$E$9</f>
        <v>0</v>
      </c>
      <c r="L68" s="468"/>
      <c r="M68" s="468"/>
      <c r="Q68" s="478"/>
    </row>
    <row r="69" spans="2:17" x14ac:dyDescent="0.25">
      <c r="B69" s="4"/>
      <c r="C69" s="4"/>
      <c r="D69" s="6" t="str">
        <f>+'Presupuesto Interno'!C69</f>
        <v>6.4.2 Reposición de Herramientas y Medios Propios</v>
      </c>
      <c r="E69" s="553"/>
      <c r="F69" s="199">
        <f>+'Presupuesto Interno'!E69</f>
        <v>60000</v>
      </c>
      <c r="G69" s="211">
        <v>0.05</v>
      </c>
      <c r="H69" s="50">
        <f>+F69/(1-G69)</f>
        <v>63157.894736842107</v>
      </c>
      <c r="J69" s="502">
        <f>F69/$E$9</f>
        <v>45.836516424751721</v>
      </c>
      <c r="L69" s="468"/>
      <c r="M69" s="468"/>
      <c r="Q69" s="478"/>
    </row>
    <row r="70" spans="2:17" x14ac:dyDescent="0.25">
      <c r="B70" s="4"/>
      <c r="C70" s="4"/>
      <c r="D70" s="6" t="str">
        <f>+'Presupuesto Interno'!C70</f>
        <v>6.4.3 Previsión por Multas y Penalizaciones</v>
      </c>
      <c r="E70" s="553"/>
      <c r="F70" s="199">
        <f>+'Presupuesto Interno'!E70</f>
        <v>0</v>
      </c>
      <c r="G70" s="211">
        <v>0.05</v>
      </c>
      <c r="H70" s="50">
        <f>+F70/(1-G70)</f>
        <v>0</v>
      </c>
      <c r="J70" s="502">
        <f>F70/$E$9</f>
        <v>0</v>
      </c>
      <c r="L70" s="468"/>
      <c r="M70" s="468"/>
      <c r="Q70" s="478"/>
    </row>
    <row r="71" spans="2:17" x14ac:dyDescent="0.25">
      <c r="B71" s="4"/>
      <c r="C71" s="4"/>
      <c r="D71" s="6" t="str">
        <f>+'Presupuesto Interno'!C71</f>
        <v>6.4.4 Otras Previsiones - Imprevistos</v>
      </c>
      <c r="E71" s="552"/>
      <c r="F71" s="199">
        <f>+'Presupuesto Interno'!E71</f>
        <v>0</v>
      </c>
      <c r="G71" s="211">
        <v>0.05</v>
      </c>
      <c r="H71" s="50">
        <f>+F71/(1-G71)</f>
        <v>0</v>
      </c>
      <c r="J71" s="502">
        <f>F71/$E$9</f>
        <v>0</v>
      </c>
      <c r="L71" s="468"/>
      <c r="M71" s="468"/>
      <c r="P71" s="468"/>
      <c r="Q71" s="478"/>
    </row>
    <row r="72" spans="2:17" ht="6" customHeight="1" thickBot="1" x14ac:dyDescent="0.3">
      <c r="B72" s="4"/>
      <c r="C72" s="4"/>
      <c r="D72" s="4"/>
      <c r="E72" s="8"/>
      <c r="F72" s="64"/>
      <c r="G72" s="44"/>
      <c r="H72" s="55"/>
      <c r="L72" s="468"/>
      <c r="M72" s="468"/>
      <c r="Q72" s="478"/>
    </row>
    <row r="73" spans="2:17" ht="14.4" thickBot="1" x14ac:dyDescent="0.3">
      <c r="B73" s="4"/>
      <c r="C73" s="739" t="s">
        <v>140</v>
      </c>
      <c r="D73" s="740"/>
      <c r="E73" s="11"/>
      <c r="F73" s="120">
        <f>SUM(F74:F78)</f>
        <v>283333.33333333331</v>
      </c>
      <c r="G73" s="52">
        <f>+(H73-F73)/H73</f>
        <v>4.9999999999999989E-2</v>
      </c>
      <c r="H73" s="54">
        <f>SUM(H74:H78)</f>
        <v>298245.6140350877</v>
      </c>
      <c r="I73" s="42"/>
      <c r="L73" s="468"/>
      <c r="M73" s="468"/>
      <c r="Q73" s="478"/>
    </row>
    <row r="74" spans="2:17" x14ac:dyDescent="0.25">
      <c r="B74" s="4"/>
      <c r="C74" s="4"/>
      <c r="D74" s="6" t="str">
        <f>+'Presupuesto Interno'!C74</f>
        <v>6.5.1 Seguros de Rodados</v>
      </c>
      <c r="E74" s="553"/>
      <c r="F74" s="199">
        <f>+'Presupuesto Interno'!E74</f>
        <v>200000</v>
      </c>
      <c r="G74" s="211">
        <v>0.05</v>
      </c>
      <c r="H74" s="50">
        <f>+F74/(1-G74)</f>
        <v>210526.31578947368</v>
      </c>
      <c r="I74" s="49"/>
      <c r="J74" s="502">
        <f>F74/$E$9</f>
        <v>152.78838808250572</v>
      </c>
      <c r="L74" s="468"/>
      <c r="M74" s="468"/>
      <c r="Q74" s="478"/>
    </row>
    <row r="75" spans="2:17" x14ac:dyDescent="0.25">
      <c r="B75" s="4"/>
      <c r="C75" s="56"/>
      <c r="D75" s="6" t="str">
        <f>+'Presupuesto Interno'!C75</f>
        <v>6.5.2 Seguro de Responsabilidad Civil</v>
      </c>
      <c r="E75" s="553"/>
      <c r="F75" s="199">
        <f>+'Presupuesto Interno'!E75</f>
        <v>83333.333333333328</v>
      </c>
      <c r="G75" s="211">
        <v>0.05</v>
      </c>
      <c r="H75" s="50">
        <f>+F75/(1-G75)</f>
        <v>87719.298245614031</v>
      </c>
      <c r="J75" s="502">
        <f>F75/$E$9</f>
        <v>63.661828367710719</v>
      </c>
      <c r="L75" s="468"/>
      <c r="M75" s="468"/>
      <c r="Q75" s="478"/>
    </row>
    <row r="76" spans="2:17" x14ac:dyDescent="0.25">
      <c r="B76" s="4"/>
      <c r="C76" s="4"/>
      <c r="D76" s="6" t="str">
        <f>+'Presupuesto Interno'!C76</f>
        <v>6.5.3 Seguro de Caución</v>
      </c>
      <c r="E76" s="553"/>
      <c r="F76" s="199">
        <f>+'Presupuesto Interno'!E76</f>
        <v>0</v>
      </c>
      <c r="G76" s="211">
        <v>0.05</v>
      </c>
      <c r="H76" s="50">
        <f>+F76/(1-G76)</f>
        <v>0</v>
      </c>
      <c r="J76" s="502">
        <f>F76/$E$9</f>
        <v>0</v>
      </c>
      <c r="L76" s="468"/>
      <c r="M76" s="468"/>
      <c r="Q76" s="478"/>
    </row>
    <row r="77" spans="2:17" x14ac:dyDescent="0.25">
      <c r="B77" s="4"/>
      <c r="C77" s="4"/>
      <c r="D77" s="6" t="str">
        <f>+'Presupuesto Interno'!C77</f>
        <v>6.5.4 Seguro de Máquinas, muebles y útiles</v>
      </c>
      <c r="E77" s="553"/>
      <c r="F77" s="199">
        <f>+'Presupuesto Interno'!E77</f>
        <v>0</v>
      </c>
      <c r="G77" s="211">
        <v>0.05</v>
      </c>
      <c r="H77" s="50">
        <f>+F77/(1-G77)</f>
        <v>0</v>
      </c>
      <c r="J77" s="502">
        <f>F77/$E$9</f>
        <v>0</v>
      </c>
      <c r="L77" s="468"/>
      <c r="M77" s="468"/>
      <c r="Q77" s="478"/>
    </row>
    <row r="78" spans="2:17" x14ac:dyDescent="0.25">
      <c r="B78" s="4"/>
      <c r="C78" s="4"/>
      <c r="D78" s="6" t="str">
        <f>+'Presupuesto Interno'!C78</f>
        <v>6.5.5 Otras coberturas de Seguro</v>
      </c>
      <c r="E78" s="553"/>
      <c r="F78" s="199">
        <f>+'Presupuesto Interno'!E78</f>
        <v>0</v>
      </c>
      <c r="G78" s="211">
        <v>0.05</v>
      </c>
      <c r="H78" s="50">
        <f>+F78/(1-G78)</f>
        <v>0</v>
      </c>
      <c r="J78" s="502">
        <f>F78/$E$9</f>
        <v>0</v>
      </c>
      <c r="L78" s="468"/>
      <c r="M78" s="468"/>
      <c r="Q78" s="478"/>
    </row>
    <row r="79" spans="2:17" ht="6" customHeight="1" thickBot="1" x14ac:dyDescent="0.3">
      <c r="B79" s="4"/>
      <c r="C79" s="4"/>
      <c r="D79" s="4"/>
      <c r="E79" s="8"/>
      <c r="F79" s="64"/>
      <c r="G79" s="44"/>
      <c r="H79" s="55"/>
      <c r="L79" s="468"/>
      <c r="M79" s="468"/>
      <c r="Q79" s="478"/>
    </row>
    <row r="80" spans="2:17" ht="15.9" customHeight="1" thickBot="1" x14ac:dyDescent="0.3">
      <c r="B80" s="4"/>
      <c r="C80" s="739" t="s">
        <v>141</v>
      </c>
      <c r="D80" s="740"/>
      <c r="E80" s="11"/>
      <c r="F80" s="120">
        <f>SUM(F81:F86)</f>
        <v>1200000</v>
      </c>
      <c r="G80" s="52">
        <f>+(H80-F80)/H80</f>
        <v>5.0000000000000114E-2</v>
      </c>
      <c r="H80" s="54">
        <f>SUM(H81:H86)</f>
        <v>1263157.8947368423</v>
      </c>
      <c r="L80" s="468"/>
      <c r="M80" s="468"/>
      <c r="Q80" s="478"/>
    </row>
    <row r="81" spans="2:17" x14ac:dyDescent="0.25">
      <c r="B81" s="4"/>
      <c r="C81" s="4"/>
      <c r="D81" s="6" t="str">
        <f>+'Presupuesto Interno'!C81</f>
        <v>6.6.1 Impuesto a los sellos</v>
      </c>
      <c r="E81" s="553"/>
      <c r="F81" s="199">
        <f>+'Presupuesto Interno'!E81</f>
        <v>0</v>
      </c>
      <c r="G81" s="211">
        <v>0.05</v>
      </c>
      <c r="H81" s="50">
        <f t="shared" ref="H81:H86" si="4">+F81/(1-G81)</f>
        <v>0</v>
      </c>
      <c r="L81" s="468"/>
      <c r="M81" s="468"/>
      <c r="Q81" s="478"/>
    </row>
    <row r="82" spans="2:17" x14ac:dyDescent="0.25">
      <c r="B82" s="4"/>
      <c r="C82" s="4"/>
      <c r="D82" s="6" t="str">
        <f>+'Presupuesto Interno'!C82</f>
        <v>6.6.2 Garantia de adjudicación</v>
      </c>
      <c r="E82" s="553"/>
      <c r="F82" s="199">
        <f>+'Presupuesto Interno'!E82</f>
        <v>0</v>
      </c>
      <c r="G82" s="211">
        <v>0.05</v>
      </c>
      <c r="H82" s="50">
        <f t="shared" si="4"/>
        <v>0</v>
      </c>
      <c r="L82" s="468"/>
      <c r="M82" s="468"/>
      <c r="Q82" s="478"/>
    </row>
    <row r="83" spans="2:17" x14ac:dyDescent="0.25">
      <c r="B83" s="4"/>
      <c r="C83" s="4"/>
      <c r="D83" s="6" t="str">
        <f>+'Presupuesto Interno'!C83</f>
        <v>6.6.3 Fondo de Reparo</v>
      </c>
      <c r="E83" s="553"/>
      <c r="F83" s="199">
        <f>+'Presupuesto Interno'!E83</f>
        <v>0</v>
      </c>
      <c r="G83" s="211">
        <v>0.05</v>
      </c>
      <c r="H83" s="50">
        <f t="shared" si="4"/>
        <v>0</v>
      </c>
      <c r="L83" s="468"/>
      <c r="M83" s="468"/>
      <c r="Q83" s="478"/>
    </row>
    <row r="84" spans="2:17" x14ac:dyDescent="0.25">
      <c r="B84" s="4"/>
      <c r="C84" s="4"/>
      <c r="D84" s="6" t="str">
        <f>+'Presupuesto Interno'!C84</f>
        <v>6.6.4 Costo financiero</v>
      </c>
      <c r="E84" s="553"/>
      <c r="F84" s="199">
        <f>+'Presupuesto Interno'!E84</f>
        <v>0</v>
      </c>
      <c r="G84" s="211">
        <v>0.05</v>
      </c>
      <c r="H84" s="50">
        <f t="shared" si="4"/>
        <v>0</v>
      </c>
      <c r="L84" s="468"/>
      <c r="M84" s="468"/>
      <c r="Q84" s="478"/>
    </row>
    <row r="85" spans="2:17" x14ac:dyDescent="0.25">
      <c r="B85" s="4"/>
      <c r="C85" s="4"/>
      <c r="D85" s="6" t="str">
        <f>+'Presupuesto Interno'!C85</f>
        <v>6.6.5 Gastos de Rte. Técnico, o Entes Gubernamentales</v>
      </c>
      <c r="E85" s="553"/>
      <c r="F85" s="199">
        <f>+'Presupuesto Interno'!E85</f>
        <v>1200000</v>
      </c>
      <c r="G85" s="211">
        <v>0.05</v>
      </c>
      <c r="H85" s="50">
        <f t="shared" si="4"/>
        <v>1263157.8947368423</v>
      </c>
      <c r="L85" s="468"/>
      <c r="M85" s="468"/>
      <c r="Q85" s="478"/>
    </row>
    <row r="86" spans="2:17" ht="15" customHeight="1" x14ac:dyDescent="0.25">
      <c r="B86" s="4"/>
      <c r="C86" s="4"/>
      <c r="D86" s="6" t="str">
        <f>+'Presupuesto Interno'!C86</f>
        <v>6.6.6 Otros Gastos Generales (COSTO ESTRUCTURA + IVA RETENIDO)</v>
      </c>
      <c r="E86" s="553"/>
      <c r="F86" s="199">
        <f>+'Presupuesto Interno'!E86</f>
        <v>0</v>
      </c>
      <c r="G86" s="211">
        <v>0.05</v>
      </c>
      <c r="H86" s="50">
        <f t="shared" si="4"/>
        <v>0</v>
      </c>
      <c r="L86" s="468"/>
      <c r="M86" s="468"/>
      <c r="Q86" s="478"/>
    </row>
    <row r="87" spans="2:17" ht="13.5" customHeight="1" thickBot="1" x14ac:dyDescent="0.35">
      <c r="B87" s="12"/>
      <c r="C87" s="4"/>
      <c r="D87" s="4"/>
      <c r="E87" s="4"/>
      <c r="F87" s="67"/>
      <c r="G87" s="44"/>
      <c r="H87" s="57"/>
      <c r="L87" s="468"/>
      <c r="M87" s="468"/>
      <c r="Q87" s="478"/>
    </row>
    <row r="88" spans="2:17" ht="15.9" customHeight="1" thickBot="1" x14ac:dyDescent="0.3">
      <c r="B88" s="12"/>
      <c r="C88" s="739" t="s">
        <v>142</v>
      </c>
      <c r="D88" s="740"/>
      <c r="E88" s="11"/>
      <c r="F88" s="120">
        <f>SUM(F89:F92)</f>
        <v>0</v>
      </c>
      <c r="G88" s="52" t="e">
        <f>+(H88-F88)/H88</f>
        <v>#DIV/0!</v>
      </c>
      <c r="H88" s="54">
        <f>SUM(H89:H92)</f>
        <v>0</v>
      </c>
      <c r="I88">
        <f>H88/E9</f>
        <v>0</v>
      </c>
      <c r="L88" s="468"/>
      <c r="M88" s="468"/>
      <c r="Q88" s="478"/>
    </row>
    <row r="89" spans="2:17" ht="13.5" customHeight="1" x14ac:dyDescent="0.25">
      <c r="B89" s="12"/>
      <c r="C89" s="4"/>
      <c r="D89" s="6" t="s">
        <v>143</v>
      </c>
      <c r="E89" s="553"/>
      <c r="F89" s="199">
        <f>+'Presupuesto Interno'!E89</f>
        <v>0</v>
      </c>
      <c r="G89" s="211">
        <v>0.05</v>
      </c>
      <c r="H89" s="50">
        <f>+F89/(1-G89)</f>
        <v>0</v>
      </c>
      <c r="J89" s="502">
        <f>F89/$E$9</f>
        <v>0</v>
      </c>
      <c r="L89" s="468"/>
      <c r="M89" s="468"/>
      <c r="Q89" s="478"/>
    </row>
    <row r="90" spans="2:17" ht="13.5" customHeight="1" x14ac:dyDescent="0.25">
      <c r="B90" s="12"/>
      <c r="C90" s="4"/>
      <c r="D90" s="6" t="s">
        <v>144</v>
      </c>
      <c r="E90" s="553"/>
      <c r="F90" s="199">
        <f>+'Presupuesto Interno'!E90</f>
        <v>0</v>
      </c>
      <c r="G90" s="211">
        <v>0.05</v>
      </c>
      <c r="H90" s="50">
        <f>+F90/(1-G90)</f>
        <v>0</v>
      </c>
      <c r="L90" s="468"/>
      <c r="M90" s="468"/>
    </row>
    <row r="91" spans="2:17" ht="13.5" customHeight="1" x14ac:dyDescent="0.25">
      <c r="B91" s="12"/>
      <c r="C91" s="4"/>
      <c r="D91" s="6" t="s">
        <v>145</v>
      </c>
      <c r="E91" s="553"/>
      <c r="F91" s="199">
        <f>+'Presupuesto Interno'!E91</f>
        <v>0</v>
      </c>
      <c r="G91" s="211">
        <v>0.05</v>
      </c>
      <c r="H91" s="50">
        <f>+F91/(1-G91)</f>
        <v>0</v>
      </c>
      <c r="J91" s="502">
        <f>F91/$E$9</f>
        <v>0</v>
      </c>
      <c r="L91" s="468"/>
      <c r="M91" s="468"/>
    </row>
    <row r="92" spans="2:17" ht="13.5" customHeight="1" x14ac:dyDescent="0.25">
      <c r="B92" s="12"/>
      <c r="C92" s="4"/>
      <c r="D92" s="6" t="s">
        <v>146</v>
      </c>
      <c r="E92" s="553"/>
      <c r="F92" s="199">
        <f>+'Presupuesto Interno'!E92</f>
        <v>0</v>
      </c>
      <c r="G92" s="211">
        <v>0.05</v>
      </c>
      <c r="H92" s="50">
        <f>+F92/(1-G92)</f>
        <v>0</v>
      </c>
      <c r="J92" s="502">
        <f>F92/$E$9</f>
        <v>0</v>
      </c>
      <c r="L92" s="468"/>
      <c r="M92" s="468"/>
      <c r="N92" s="468"/>
      <c r="O92" s="468"/>
      <c r="P92" s="468"/>
    </row>
    <row r="93" spans="2:17" ht="13.5" customHeight="1" x14ac:dyDescent="0.3">
      <c r="B93" s="12"/>
      <c r="C93" s="4"/>
      <c r="D93" s="4"/>
      <c r="E93" s="4"/>
      <c r="F93" s="67"/>
      <c r="G93" s="44"/>
      <c r="H93" s="57"/>
      <c r="L93" s="468"/>
      <c r="M93" s="468"/>
    </row>
    <row r="94" spans="2:17" ht="15.6" x14ac:dyDescent="0.3">
      <c r="B94" s="4"/>
      <c r="C94" s="12"/>
      <c r="D94" s="4"/>
      <c r="E94" s="741" t="s">
        <v>147</v>
      </c>
      <c r="F94" s="742"/>
      <c r="G94" s="44"/>
      <c r="H94" s="57"/>
      <c r="L94" s="468"/>
      <c r="M94" s="468"/>
    </row>
    <row r="95" spans="2:17" ht="15.6" x14ac:dyDescent="0.3">
      <c r="B95" s="4"/>
      <c r="C95" s="4"/>
      <c r="D95" s="4"/>
      <c r="E95" s="743"/>
      <c r="F95" s="744"/>
      <c r="G95" s="44"/>
      <c r="H95" s="57"/>
      <c r="L95" s="468"/>
      <c r="M95" s="468"/>
    </row>
    <row r="96" spans="2:17" ht="15.6" x14ac:dyDescent="0.3">
      <c r="B96" s="4"/>
      <c r="C96" s="180"/>
      <c r="D96" s="4"/>
      <c r="E96" s="745"/>
      <c r="F96" s="746"/>
      <c r="G96" s="44"/>
      <c r="H96" s="57"/>
      <c r="L96" s="468"/>
      <c r="M96" s="468"/>
    </row>
    <row r="97" spans="4:13" ht="15.6" x14ac:dyDescent="0.3">
      <c r="G97" s="44"/>
      <c r="H97" s="57"/>
      <c r="L97" s="468"/>
      <c r="M97" s="468"/>
    </row>
    <row r="98" spans="4:13" x14ac:dyDescent="0.25">
      <c r="L98" s="468"/>
      <c r="M98" s="468"/>
    </row>
    <row r="99" spans="4:13" x14ac:dyDescent="0.25">
      <c r="L99" s="468"/>
      <c r="M99" s="468"/>
    </row>
    <row r="100" spans="4:13" x14ac:dyDescent="0.25">
      <c r="L100" s="468"/>
      <c r="M100" s="468"/>
    </row>
    <row r="101" spans="4:13" x14ac:dyDescent="0.25">
      <c r="L101" s="468"/>
      <c r="M101" s="468"/>
    </row>
    <row r="102" spans="4:13" x14ac:dyDescent="0.25">
      <c r="L102" s="468"/>
      <c r="M102" s="468"/>
    </row>
    <row r="103" spans="4:13" x14ac:dyDescent="0.25">
      <c r="L103" s="468"/>
      <c r="M103" s="468"/>
    </row>
    <row r="104" spans="4:13" x14ac:dyDescent="0.25">
      <c r="L104" s="468"/>
      <c r="M104" s="468"/>
    </row>
    <row r="105" spans="4:13" x14ac:dyDescent="0.25">
      <c r="D105" s="1" t="s">
        <v>148</v>
      </c>
      <c r="E105" s="504">
        <f>J30*80%</f>
        <v>509.56322947263499</v>
      </c>
      <c r="F105" s="503">
        <f>10000/12/187</f>
        <v>4.4563279857397511</v>
      </c>
      <c r="L105" s="468"/>
      <c r="M105" s="468"/>
    </row>
    <row r="106" spans="4:13" x14ac:dyDescent="0.25">
      <c r="D106" s="1" t="s">
        <v>149</v>
      </c>
      <c r="E106" s="504">
        <v>1</v>
      </c>
      <c r="F106" s="1">
        <v>1.9</v>
      </c>
      <c r="L106" s="468"/>
      <c r="M106" s="468"/>
    </row>
    <row r="107" spans="4:13" x14ac:dyDescent="0.25">
      <c r="D107" s="1" t="s">
        <v>150</v>
      </c>
      <c r="E107" s="504">
        <f>J91</f>
        <v>0</v>
      </c>
      <c r="F107" s="503">
        <f>5000/187</f>
        <v>26.737967914438503</v>
      </c>
      <c r="G107" s="44"/>
      <c r="L107" s="468"/>
      <c r="M107" s="468"/>
    </row>
    <row r="108" spans="4:13" x14ac:dyDescent="0.25">
      <c r="D108" s="1" t="s">
        <v>151</v>
      </c>
      <c r="E108" s="504">
        <f>J89</f>
        <v>0</v>
      </c>
      <c r="F108" s="1">
        <f>180/8</f>
        <v>22.5</v>
      </c>
      <c r="L108" s="468"/>
      <c r="M108" s="468"/>
    </row>
    <row r="109" spans="4:13" x14ac:dyDescent="0.25">
      <c r="D109" s="1" t="s">
        <v>152</v>
      </c>
      <c r="E109" s="504">
        <f>20%*E105</f>
        <v>101.912645894527</v>
      </c>
      <c r="F109" s="1">
        <f>8.04</f>
        <v>8.0399999999999991</v>
      </c>
      <c r="L109" s="468"/>
      <c r="M109" s="468"/>
    </row>
    <row r="110" spans="4:13" x14ac:dyDescent="0.25">
      <c r="D110" s="1" t="s">
        <v>153</v>
      </c>
      <c r="E110" s="504">
        <f>J42+J44+J45+J26+J28+J29</f>
        <v>1265.2282049783048</v>
      </c>
      <c r="F110" s="1">
        <v>12.67</v>
      </c>
      <c r="L110" s="468"/>
      <c r="M110" s="468"/>
    </row>
    <row r="111" spans="4:13" x14ac:dyDescent="0.25">
      <c r="D111" s="1" t="s">
        <v>154</v>
      </c>
      <c r="E111" s="504">
        <f>J41+J42+J27+J92+J62+J64+J65+J69+J74+J75</f>
        <v>3845.299793673255</v>
      </c>
      <c r="F111" s="1">
        <v>49.39</v>
      </c>
      <c r="L111" s="468"/>
      <c r="M111" s="468"/>
    </row>
    <row r="112" spans="4:13" x14ac:dyDescent="0.25">
      <c r="D112" s="1" t="s">
        <v>155</v>
      </c>
      <c r="E112" s="504">
        <f>J15+J35+J51+J52</f>
        <v>3900.0012059324349</v>
      </c>
      <c r="F112" s="1">
        <v>39.9</v>
      </c>
      <c r="L112" s="468"/>
      <c r="M112" s="468"/>
    </row>
    <row r="113" spans="5:13" x14ac:dyDescent="0.25">
      <c r="E113" s="505">
        <f>SUM(E105:E112)</f>
        <v>9623.0050799511573</v>
      </c>
      <c r="F113" s="505">
        <f>SUM(F105:F112)</f>
        <v>165.59429590017825</v>
      </c>
      <c r="L113" s="468"/>
      <c r="M113" s="468"/>
    </row>
    <row r="114" spans="5:13" x14ac:dyDescent="0.25">
      <c r="L114" s="468"/>
      <c r="M114" s="468"/>
    </row>
    <row r="115" spans="5:13" x14ac:dyDescent="0.25">
      <c r="L115" s="468"/>
      <c r="M115" s="468"/>
    </row>
    <row r="116" spans="5:13" x14ac:dyDescent="0.25">
      <c r="L116" s="468"/>
      <c r="M116" s="468"/>
    </row>
    <row r="117" spans="5:13" x14ac:dyDescent="0.25">
      <c r="L117" s="468"/>
      <c r="M117" s="468"/>
    </row>
    <row r="118" spans="5:13" x14ac:dyDescent="0.25">
      <c r="L118" s="468"/>
      <c r="M118" s="468"/>
    </row>
    <row r="119" spans="5:13" x14ac:dyDescent="0.25">
      <c r="L119" s="468"/>
      <c r="M119" s="468"/>
    </row>
    <row r="120" spans="5:13" x14ac:dyDescent="0.25">
      <c r="L120" s="468"/>
      <c r="M120" s="468"/>
    </row>
    <row r="121" spans="5:13" x14ac:dyDescent="0.25">
      <c r="L121" s="468"/>
      <c r="M121" s="468"/>
    </row>
    <row r="122" spans="5:13" x14ac:dyDescent="0.25">
      <c r="L122" s="468"/>
      <c r="M122" s="468"/>
    </row>
    <row r="123" spans="5:13" x14ac:dyDescent="0.25">
      <c r="L123" s="468"/>
      <c r="M123" s="468"/>
    </row>
    <row r="124" spans="5:13" x14ac:dyDescent="0.25">
      <c r="L124" s="468"/>
      <c r="M124" s="468"/>
    </row>
    <row r="125" spans="5:13" x14ac:dyDescent="0.25">
      <c r="L125" s="468"/>
      <c r="M125" s="468"/>
    </row>
    <row r="126" spans="5:13" x14ac:dyDescent="0.25">
      <c r="L126" s="468"/>
      <c r="M126" s="468"/>
    </row>
    <row r="127" spans="5:13" x14ac:dyDescent="0.25">
      <c r="L127" s="468"/>
      <c r="M127" s="468"/>
    </row>
    <row r="128" spans="5:13" x14ac:dyDescent="0.25">
      <c r="L128" s="468"/>
      <c r="M128" s="468"/>
    </row>
    <row r="129" spans="12:13" x14ac:dyDescent="0.25">
      <c r="L129" s="468"/>
      <c r="M129" s="468"/>
    </row>
    <row r="130" spans="12:13" x14ac:dyDescent="0.25">
      <c r="L130" s="468"/>
      <c r="M130" s="468"/>
    </row>
    <row r="131" spans="12:13" x14ac:dyDescent="0.25">
      <c r="L131" s="468"/>
      <c r="M131" s="468"/>
    </row>
    <row r="132" spans="12:13" x14ac:dyDescent="0.25">
      <c r="L132" s="468"/>
    </row>
    <row r="133" spans="12:13" x14ac:dyDescent="0.25">
      <c r="L133" s="468"/>
    </row>
    <row r="134" spans="12:13" x14ac:dyDescent="0.25">
      <c r="L134" s="468"/>
    </row>
  </sheetData>
  <mergeCells count="23">
    <mergeCell ref="C88:D88"/>
    <mergeCell ref="E94:F96"/>
    <mergeCell ref="B40:D40"/>
    <mergeCell ref="B48:D48"/>
    <mergeCell ref="C50:D50"/>
    <mergeCell ref="C55:D55"/>
    <mergeCell ref="C61:D61"/>
    <mergeCell ref="C67:D67"/>
    <mergeCell ref="B19:D19"/>
    <mergeCell ref="B25:D25"/>
    <mergeCell ref="B33:D33"/>
    <mergeCell ref="C73:D73"/>
    <mergeCell ref="C80:D80"/>
    <mergeCell ref="B7:C7"/>
    <mergeCell ref="D7:E7"/>
    <mergeCell ref="B9:C9"/>
    <mergeCell ref="B11:E11"/>
    <mergeCell ref="B13:D13"/>
    <mergeCell ref="B1:J1"/>
    <mergeCell ref="D2:H2"/>
    <mergeCell ref="D3:H3"/>
    <mergeCell ref="D4:H4"/>
    <mergeCell ref="D5:H5"/>
  </mergeCells>
  <printOptions horizontalCentered="1"/>
  <pageMargins left="0.43307086614173229" right="0.31496062992125984" top="0.51181102362204722" bottom="0.74803149606299213" header="0" footer="0"/>
  <pageSetup paperSize="9" scale="41" orientation="portrait" horizontalDpi="300" verticalDpi="300" r:id="rId1"/>
  <headerFooter alignWithMargins="0">
    <oddFooter>&amp;L&amp;"Arial,Negrita"IMA S.I. Argentina S.A.&amp;C&amp;P/&amp;N&amp;R&amp;F - CONFIDENCIAL</oddFooter>
  </headerFooter>
  <rowBreaks count="1" manualBreakCount="1">
    <brk id="4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97"/>
  <sheetViews>
    <sheetView showGridLines="0" view="pageBreakPreview" topLeftCell="A4" zoomScale="75" zoomScaleNormal="75" zoomScaleSheetLayoutView="100" workbookViewId="0">
      <selection activeCell="E86" sqref="E86"/>
    </sheetView>
  </sheetViews>
  <sheetFormatPr baseColWidth="10" defaultColWidth="11.44140625" defaultRowHeight="13.2" x14ac:dyDescent="0.25"/>
  <cols>
    <col min="1" max="1" width="4.5546875" customWidth="1"/>
    <col min="2" max="2" width="17.88671875" bestFit="1" customWidth="1"/>
    <col min="3" max="3" width="54.109375" bestFit="1" customWidth="1"/>
    <col min="4" max="4" width="20.33203125" customWidth="1"/>
    <col min="5" max="5" width="25.109375" bestFit="1" customWidth="1"/>
    <col min="6" max="6" width="20" customWidth="1"/>
    <col min="7" max="7" width="16.33203125" style="28" customWidth="1"/>
    <col min="8" max="8" width="2.88671875" customWidth="1"/>
    <col min="9" max="9" width="15.88671875" bestFit="1" customWidth="1"/>
    <col min="11" max="11" width="14" customWidth="1"/>
    <col min="12" max="12" width="12.6640625" bestFit="1" customWidth="1"/>
    <col min="14" max="14" width="12.109375" bestFit="1" customWidth="1"/>
  </cols>
  <sheetData>
    <row r="1" spans="1:10" ht="45.75" customHeight="1" thickBot="1" x14ac:dyDescent="0.3">
      <c r="A1" s="722" t="s">
        <v>156</v>
      </c>
      <c r="B1" s="723"/>
      <c r="C1" s="723"/>
      <c r="D1" s="723"/>
      <c r="E1" s="723"/>
      <c r="F1" s="723"/>
      <c r="G1" s="724"/>
    </row>
    <row r="2" spans="1:10" ht="35.1" customHeight="1" x14ac:dyDescent="0.25">
      <c r="A2" s="254"/>
      <c r="B2" s="540" t="s">
        <v>54</v>
      </c>
      <c r="C2" s="725" t="str">
        <f>+'Sintesis Economica'!C2</f>
        <v>PAMPA</v>
      </c>
      <c r="D2" s="725"/>
      <c r="E2" s="725"/>
      <c r="F2" s="252" t="s">
        <v>113</v>
      </c>
      <c r="G2" s="249" t="str">
        <f>+'Sintesis Economica'!J2</f>
        <v>SHM</v>
      </c>
    </row>
    <row r="3" spans="1:10" ht="35.1" customHeight="1" x14ac:dyDescent="0.25">
      <c r="A3" s="254"/>
      <c r="B3" s="540" t="s">
        <v>114</v>
      </c>
      <c r="C3" s="726" t="str">
        <f>+'Sintesis Economica'!C3</f>
        <v>PAMPA SERVICIOS MENORES CIVILES</v>
      </c>
      <c r="D3" s="726"/>
      <c r="E3" s="726"/>
      <c r="F3" s="252" t="s">
        <v>115</v>
      </c>
      <c r="G3" s="250" t="str">
        <f>+'Sintesis Economica'!J3</f>
        <v>SHM</v>
      </c>
    </row>
    <row r="4" spans="1:10" ht="35.1" customHeight="1" x14ac:dyDescent="0.25">
      <c r="A4" s="254"/>
      <c r="B4" s="540" t="s">
        <v>59</v>
      </c>
      <c r="C4" s="726" t="str">
        <f>+'Sintesis Economica'!C5</f>
        <v>Nº LICITACIÓN: SIN</v>
      </c>
      <c r="D4" s="726"/>
      <c r="E4" s="726"/>
      <c r="F4" s="252" t="s">
        <v>58</v>
      </c>
      <c r="G4" s="250">
        <f>+'Sintesis Economica'!J4</f>
        <v>0</v>
      </c>
    </row>
    <row r="5" spans="1:10" ht="35.1" customHeight="1" thickBot="1" x14ac:dyDescent="0.3">
      <c r="A5" s="255"/>
      <c r="B5" s="543" t="s">
        <v>61</v>
      </c>
      <c r="C5" s="727" t="str">
        <f>+'Sintesis Economica'!C6</f>
        <v>PRE-ARG-1340</v>
      </c>
      <c r="D5" s="727"/>
      <c r="E5" s="727"/>
      <c r="F5" s="253" t="s">
        <v>60</v>
      </c>
      <c r="G5" s="251">
        <f>+'Sintesis Economica'!J5</f>
        <v>46199</v>
      </c>
      <c r="J5">
        <f>800*41</f>
        <v>32800</v>
      </c>
    </row>
    <row r="6" spans="1:10" ht="6" customHeight="1" thickBot="1" x14ac:dyDescent="0.3">
      <c r="A6" s="4"/>
      <c r="B6" s="4"/>
      <c r="C6" s="4"/>
      <c r="D6" s="4"/>
      <c r="E6" s="4"/>
    </row>
    <row r="7" spans="1:10" ht="54.75" customHeight="1" thickBot="1" x14ac:dyDescent="0.3">
      <c r="A7" s="747" t="s">
        <v>118</v>
      </c>
      <c r="B7" s="748"/>
      <c r="C7" s="749"/>
      <c r="D7" s="312">
        <f>SUM('1 MANO DE OBRA'!C15:C20)</f>
        <v>1309</v>
      </c>
      <c r="E7" s="81" t="s">
        <v>157</v>
      </c>
      <c r="F7" s="84" t="s">
        <v>158</v>
      </c>
      <c r="G7" s="84" t="s">
        <v>122</v>
      </c>
    </row>
    <row r="8" spans="1:10" ht="6" customHeight="1" thickBot="1" x14ac:dyDescent="0.3">
      <c r="A8" s="4"/>
      <c r="B8" s="4"/>
      <c r="C8" s="4"/>
      <c r="D8" s="4"/>
      <c r="E8" s="4"/>
    </row>
    <row r="9" spans="1:10" ht="27" thickBot="1" x14ac:dyDescent="0.3">
      <c r="A9" s="750" t="s">
        <v>129</v>
      </c>
      <c r="B9" s="751"/>
      <c r="C9" s="751"/>
      <c r="D9" s="752"/>
      <c r="E9" s="302">
        <f>E11+E19+E25+E33+E40+E48</f>
        <v>36331741.037628166</v>
      </c>
      <c r="F9" s="302">
        <f>E9/$D$7</f>
        <v>27755.340746851158</v>
      </c>
      <c r="G9" s="43">
        <f>+SUM(G11:G48)</f>
        <v>0.99999999999999989</v>
      </c>
      <c r="I9" s="42"/>
      <c r="J9" s="448"/>
    </row>
    <row r="10" spans="1:10" ht="6" customHeight="1" x14ac:dyDescent="0.25">
      <c r="A10" s="65"/>
      <c r="B10" s="65"/>
      <c r="C10" s="65"/>
      <c r="D10" s="65"/>
      <c r="E10" s="65"/>
    </row>
    <row r="11" spans="1:10" ht="13.8" x14ac:dyDescent="0.25">
      <c r="A11" s="737" t="s">
        <v>130</v>
      </c>
      <c r="B11" s="738"/>
      <c r="C11" s="738"/>
      <c r="D11" s="5"/>
      <c r="E11" s="46">
        <f>SUM(E12:E15)</f>
        <v>27400066.4481031</v>
      </c>
      <c r="F11" s="200">
        <f>E11/$D$7</f>
        <v>20932.059929796105</v>
      </c>
      <c r="G11" s="554">
        <f>E11/$E$9</f>
        <v>0.7541633201592326</v>
      </c>
      <c r="I11" s="412">
        <f>+(I12-I13)*0</f>
        <v>0</v>
      </c>
      <c r="J11" t="s">
        <v>159</v>
      </c>
    </row>
    <row r="12" spans="1:10" x14ac:dyDescent="0.25">
      <c r="A12" s="4"/>
      <c r="B12" s="4"/>
      <c r="C12" s="6" t="s">
        <v>160</v>
      </c>
      <c r="D12" s="549"/>
      <c r="E12" s="190">
        <f>'1 MANO DE OBRA'!L24</f>
        <v>22545024.869537544</v>
      </c>
      <c r="F12" s="49"/>
      <c r="I12" s="97">
        <f>2700*2.1/(6*187)</f>
        <v>5.0534759358288772</v>
      </c>
      <c r="J12" t="s">
        <v>161</v>
      </c>
    </row>
    <row r="13" spans="1:10" x14ac:dyDescent="0.25">
      <c r="A13" s="4"/>
      <c r="B13" s="4"/>
      <c r="C13" s="6" t="s">
        <v>162</v>
      </c>
      <c r="D13" s="549"/>
      <c r="E13" s="190">
        <f>'1 MANO DE OBRA'!L36</f>
        <v>4855041.5785655566</v>
      </c>
      <c r="I13" s="97">
        <f>+E13/D7*15%</f>
        <v>556.3454826469316</v>
      </c>
      <c r="J13" t="s">
        <v>163</v>
      </c>
    </row>
    <row r="14" spans="1:10" x14ac:dyDescent="0.25">
      <c r="A14" s="4"/>
      <c r="B14" s="209">
        <v>1</v>
      </c>
      <c r="C14" s="6" t="s">
        <v>164</v>
      </c>
      <c r="D14" s="550"/>
      <c r="E14" s="190">
        <f>+D14*$E$17</f>
        <v>0</v>
      </c>
    </row>
    <row r="15" spans="1:10" x14ac:dyDescent="0.25">
      <c r="A15" s="4"/>
      <c r="B15" s="4"/>
      <c r="C15" s="6" t="s">
        <v>165</v>
      </c>
      <c r="D15" s="549"/>
      <c r="E15" s="190"/>
    </row>
    <row r="16" spans="1:10" ht="6" customHeight="1" x14ac:dyDescent="0.25">
      <c r="A16" s="4"/>
      <c r="B16" s="4"/>
      <c r="C16" s="4"/>
      <c r="D16" s="8"/>
      <c r="E16" s="64"/>
    </row>
    <row r="17" spans="1:10" ht="15" customHeight="1" x14ac:dyDescent="0.25">
      <c r="A17" s="4"/>
      <c r="B17" s="4"/>
      <c r="C17" s="555" t="s">
        <v>166</v>
      </c>
      <c r="D17" s="8"/>
      <c r="E17" s="556">
        <v>25</v>
      </c>
    </row>
    <row r="18" spans="1:10" ht="6" customHeight="1" x14ac:dyDescent="0.25">
      <c r="A18" s="4"/>
      <c r="B18" s="4"/>
      <c r="C18" s="4"/>
      <c r="D18" s="8"/>
      <c r="E18" s="64"/>
    </row>
    <row r="19" spans="1:10" ht="13.8" x14ac:dyDescent="0.25">
      <c r="A19" s="737" t="s">
        <v>131</v>
      </c>
      <c r="B19" s="738"/>
      <c r="C19" s="738"/>
      <c r="D19" s="7"/>
      <c r="E19" s="46">
        <f>SUM(E20:E23)</f>
        <v>0</v>
      </c>
      <c r="F19" s="200">
        <f>E19/$D$7</f>
        <v>0</v>
      </c>
      <c r="G19" s="554">
        <f>E19/$E$9</f>
        <v>0</v>
      </c>
    </row>
    <row r="20" spans="1:10" x14ac:dyDescent="0.25">
      <c r="A20" s="4"/>
      <c r="B20" s="4"/>
      <c r="C20" s="6" t="s">
        <v>167</v>
      </c>
      <c r="D20" s="7"/>
      <c r="E20" s="190">
        <f>'2 SUMINISTRO DE MATERIALES'!G20</f>
        <v>0</v>
      </c>
      <c r="F20" s="49"/>
    </row>
    <row r="21" spans="1:10" x14ac:dyDescent="0.25">
      <c r="A21" s="4"/>
      <c r="B21" s="4"/>
      <c r="C21" s="6" t="s">
        <v>168</v>
      </c>
      <c r="D21" s="7"/>
      <c r="E21" s="190">
        <f>'2 SUMINISTRO DE MATERIALES'!G33</f>
        <v>0</v>
      </c>
    </row>
    <row r="22" spans="1:10" x14ac:dyDescent="0.25">
      <c r="A22" s="4"/>
      <c r="B22" s="4"/>
      <c r="C22" s="6" t="s">
        <v>169</v>
      </c>
      <c r="D22" s="7"/>
      <c r="E22" s="190">
        <f>'2 SUMINISTRO DE MATERIALES'!G39</f>
        <v>0</v>
      </c>
    </row>
    <row r="23" spans="1:10" x14ac:dyDescent="0.25">
      <c r="A23" s="4"/>
      <c r="B23" s="4"/>
      <c r="C23" s="6" t="s">
        <v>170</v>
      </c>
      <c r="D23" s="7"/>
      <c r="E23" s="190">
        <f>'2 SUMINISTRO DE MATERIALES'!G51</f>
        <v>0</v>
      </c>
    </row>
    <row r="24" spans="1:10" ht="6" customHeight="1" x14ac:dyDescent="0.25">
      <c r="A24" s="4"/>
      <c r="B24" s="4"/>
      <c r="C24" s="4"/>
      <c r="D24" s="8"/>
      <c r="E24" s="64"/>
    </row>
    <row r="25" spans="1:10" ht="15.6" x14ac:dyDescent="0.3">
      <c r="A25" s="737" t="s">
        <v>132</v>
      </c>
      <c r="B25" s="738"/>
      <c r="C25" s="738"/>
      <c r="D25" s="53"/>
      <c r="E25" s="46">
        <f>SUM(E26:E31)</f>
        <v>2787372.8342245989</v>
      </c>
      <c r="F25" s="200">
        <f>E25/$D$7</f>
        <v>2129.3910116307097</v>
      </c>
      <c r="G25" s="554">
        <f>E25/$E$9</f>
        <v>7.6720045740108198E-2</v>
      </c>
    </row>
    <row r="26" spans="1:10" x14ac:dyDescent="0.25">
      <c r="A26" s="4"/>
      <c r="B26" s="4"/>
      <c r="C26" s="6" t="s">
        <v>171</v>
      </c>
      <c r="D26" s="551"/>
      <c r="E26" s="190">
        <f>'3 SUMINISTRO DE INSUMOS'!F39</f>
        <v>523600</v>
      </c>
      <c r="F26" s="49"/>
      <c r="I26" s="97">
        <f>+(E26+E30)/D7</f>
        <v>1036.9540368407936</v>
      </c>
      <c r="J26" t="s">
        <v>172</v>
      </c>
    </row>
    <row r="27" spans="1:10" x14ac:dyDescent="0.25">
      <c r="A27" s="4"/>
      <c r="B27" s="4"/>
      <c r="C27" s="6" t="s">
        <v>173</v>
      </c>
      <c r="D27" s="551"/>
      <c r="E27" s="190">
        <f>'3 SUMINISTRO DE INSUMOS'!F54</f>
        <v>1400000</v>
      </c>
    </row>
    <row r="28" spans="1:10" x14ac:dyDescent="0.25">
      <c r="A28" s="4"/>
      <c r="B28" s="4"/>
      <c r="C28" s="6" t="s">
        <v>174</v>
      </c>
      <c r="D28" s="551"/>
      <c r="E28" s="190">
        <f>'3 SUMINISTRO DE INSUMOS'!F61</f>
        <v>15000</v>
      </c>
    </row>
    <row r="29" spans="1:10" x14ac:dyDescent="0.25">
      <c r="A29" s="4"/>
      <c r="B29" s="4"/>
      <c r="C29" s="6" t="s">
        <v>175</v>
      </c>
      <c r="D29" s="551"/>
      <c r="E29" s="190">
        <f>'3 SUMINISTRO DE INSUMOS'!F68</f>
        <v>15000</v>
      </c>
    </row>
    <row r="30" spans="1:10" x14ac:dyDescent="0.25">
      <c r="A30" s="4"/>
      <c r="B30" s="4"/>
      <c r="C30" s="6" t="s">
        <v>176</v>
      </c>
      <c r="D30" s="551"/>
      <c r="E30" s="190">
        <f>'3 SUMINISTRO DE INSUMOS'!F87</f>
        <v>833772.83422459895</v>
      </c>
    </row>
    <row r="31" spans="1:10" x14ac:dyDescent="0.25">
      <c r="A31" s="4"/>
      <c r="B31" s="4"/>
      <c r="C31" s="6" t="s">
        <v>177</v>
      </c>
      <c r="D31" s="551"/>
      <c r="E31" s="190">
        <f>'3 SUMINISTRO DE INSUMOS'!F96</f>
        <v>0</v>
      </c>
    </row>
    <row r="32" spans="1:10" ht="6" customHeight="1" x14ac:dyDescent="0.25">
      <c r="A32" s="4"/>
      <c r="B32" s="4"/>
      <c r="C32" s="4"/>
      <c r="D32" s="8"/>
      <c r="E32" s="64"/>
    </row>
    <row r="33" spans="1:10" ht="13.8" x14ac:dyDescent="0.25">
      <c r="A33" s="737" t="s">
        <v>133</v>
      </c>
      <c r="B33" s="738"/>
      <c r="C33" s="738"/>
      <c r="D33" s="9"/>
      <c r="E33" s="46">
        <f>SUM(E34:E38)</f>
        <v>100000</v>
      </c>
      <c r="F33" s="200">
        <f>E33/$D$7</f>
        <v>76.39419404125286</v>
      </c>
      <c r="G33" s="554">
        <f>E33/$E$9</f>
        <v>2.7524142015773949E-3</v>
      </c>
    </row>
    <row r="34" spans="1:10" x14ac:dyDescent="0.25">
      <c r="A34" s="4"/>
      <c r="B34" s="4"/>
      <c r="C34" s="6" t="s">
        <v>178</v>
      </c>
      <c r="D34" s="7"/>
      <c r="E34" s="190">
        <f>+'4 SUBCONTRATACIONES'!F26</f>
        <v>100000</v>
      </c>
      <c r="F34" s="49"/>
    </row>
    <row r="35" spans="1:10" x14ac:dyDescent="0.25">
      <c r="A35" s="4"/>
      <c r="B35" s="4"/>
      <c r="C35" s="6" t="s">
        <v>179</v>
      </c>
      <c r="D35" s="7"/>
      <c r="E35" s="190">
        <f>+'4 SUBCONTRATACIONES'!F47</f>
        <v>0</v>
      </c>
    </row>
    <row r="36" spans="1:10" x14ac:dyDescent="0.25">
      <c r="A36" s="4"/>
      <c r="B36" s="4"/>
      <c r="C36" s="6" t="s">
        <v>180</v>
      </c>
      <c r="D36" s="7"/>
      <c r="E36" s="190">
        <f>+'4 SUBCONTRATACIONES'!F68</f>
        <v>0</v>
      </c>
    </row>
    <row r="37" spans="1:10" x14ac:dyDescent="0.25">
      <c r="A37" s="4"/>
      <c r="B37" s="4"/>
      <c r="C37" s="6" t="s">
        <v>181</v>
      </c>
      <c r="D37" s="7"/>
      <c r="E37" s="190">
        <f>+'4 SUBCONTRATACIONES'!F89</f>
        <v>0</v>
      </c>
    </row>
    <row r="38" spans="1:10" x14ac:dyDescent="0.25">
      <c r="A38" s="4"/>
      <c r="B38" s="4"/>
      <c r="C38" s="6" t="s">
        <v>182</v>
      </c>
      <c r="D38" s="7"/>
      <c r="E38" s="190">
        <f>+'4 SUBCONTRATACIONES'!F110</f>
        <v>0</v>
      </c>
    </row>
    <row r="39" spans="1:10" ht="6" customHeight="1" x14ac:dyDescent="0.25">
      <c r="A39" s="4"/>
      <c r="B39" s="4"/>
      <c r="C39" s="4"/>
      <c r="D39" s="8"/>
      <c r="E39" s="64"/>
    </row>
    <row r="40" spans="1:10" ht="13.8" x14ac:dyDescent="0.25">
      <c r="A40" s="737" t="s">
        <v>134</v>
      </c>
      <c r="B40" s="738"/>
      <c r="C40" s="738"/>
      <c r="D40" s="9"/>
      <c r="E40" s="46">
        <f>SUM(E41:E46)</f>
        <v>3906741.7553004646</v>
      </c>
      <c r="F40" s="200">
        <f>E40/$D$7</f>
        <v>2984.5238772348853</v>
      </c>
      <c r="G40" s="554">
        <f>E40/$E$9</f>
        <v>0.10752971489184399</v>
      </c>
    </row>
    <row r="41" spans="1:10" x14ac:dyDescent="0.25">
      <c r="A41" s="4"/>
      <c r="B41" s="4"/>
      <c r="C41" s="6" t="s">
        <v>183</v>
      </c>
      <c r="D41" s="7"/>
      <c r="E41" s="190">
        <f>+'5 AMORTIZACIÓN'!K10</f>
        <v>2804158.0349838641</v>
      </c>
      <c r="F41" s="49"/>
    </row>
    <row r="42" spans="1:10" x14ac:dyDescent="0.25">
      <c r="A42" s="4"/>
      <c r="B42" s="4"/>
      <c r="C42" s="6" t="s">
        <v>184</v>
      </c>
      <c r="D42" s="7"/>
      <c r="E42" s="190">
        <f>+'5 AMORTIZACIÓN'!K23</f>
        <v>141839.3949344272</v>
      </c>
    </row>
    <row r="43" spans="1:10" x14ac:dyDescent="0.25">
      <c r="A43" s="4"/>
      <c r="B43" s="4"/>
      <c r="C43" s="6" t="s">
        <v>185</v>
      </c>
      <c r="D43" s="7"/>
      <c r="E43" s="190">
        <f>+'5 AMORTIZACIÓN'!K36</f>
        <v>0</v>
      </c>
    </row>
    <row r="44" spans="1:10" x14ac:dyDescent="0.25">
      <c r="A44" s="4"/>
      <c r="B44" s="4"/>
      <c r="C44" s="6" t="s">
        <v>186</v>
      </c>
      <c r="D44" s="7"/>
      <c r="E44" s="190">
        <f>+'5 AMORTIZACIÓN'!K49</f>
        <v>156931.41039119262</v>
      </c>
    </row>
    <row r="45" spans="1:10" x14ac:dyDescent="0.25">
      <c r="A45" s="4"/>
      <c r="B45" s="4"/>
      <c r="C45" s="6" t="s">
        <v>187</v>
      </c>
      <c r="D45" s="7"/>
      <c r="E45" s="190">
        <f>+'5 AMORTIZACIÓN'!K62</f>
        <v>803812.91499098111</v>
      </c>
      <c r="I45" s="97">
        <f>+E45/D7*20%</f>
        <v>122.81327960137222</v>
      </c>
      <c r="J45" t="s">
        <v>188</v>
      </c>
    </row>
    <row r="46" spans="1:10" x14ac:dyDescent="0.25">
      <c r="A46" s="4"/>
      <c r="B46" s="4"/>
      <c r="C46" s="6" t="s">
        <v>189</v>
      </c>
      <c r="D46" s="7"/>
      <c r="E46" s="190">
        <f>+'5 AMORTIZACIÓN'!K75</f>
        <v>0</v>
      </c>
      <c r="F46" s="49"/>
    </row>
    <row r="47" spans="1:10" ht="6" customHeight="1" x14ac:dyDescent="0.25">
      <c r="A47" s="4"/>
      <c r="B47" s="4"/>
      <c r="C47" s="4"/>
      <c r="D47" s="8"/>
      <c r="E47" s="64"/>
    </row>
    <row r="48" spans="1:10" ht="13.8" x14ac:dyDescent="0.25">
      <c r="A48" s="737" t="s">
        <v>135</v>
      </c>
      <c r="B48" s="738"/>
      <c r="C48" s="738"/>
      <c r="D48" s="9"/>
      <c r="E48" s="46">
        <f>E50+E55+E61+E67+E73+E80+E88</f>
        <v>2137560</v>
      </c>
      <c r="F48" s="200">
        <f>E48/$D$7</f>
        <v>1632.9717341482046</v>
      </c>
      <c r="G48" s="554">
        <f>E48/$E$9</f>
        <v>5.8834505007237761E-2</v>
      </c>
    </row>
    <row r="49" spans="1:15" ht="6" customHeight="1" x14ac:dyDescent="0.25">
      <c r="A49" s="10"/>
      <c r="B49" s="4"/>
      <c r="C49" s="4"/>
      <c r="D49" s="8"/>
      <c r="E49" s="64"/>
    </row>
    <row r="50" spans="1:15" ht="13.8" x14ac:dyDescent="0.25">
      <c r="A50" s="4"/>
      <c r="B50" s="737" t="s">
        <v>136</v>
      </c>
      <c r="C50" s="738"/>
      <c r="D50" s="9"/>
      <c r="E50" s="120">
        <f>SUM(E51:E53)</f>
        <v>250060</v>
      </c>
      <c r="F50" s="42"/>
      <c r="J50" t="s">
        <v>190</v>
      </c>
    </row>
    <row r="51" spans="1:15" x14ac:dyDescent="0.25">
      <c r="A51" s="4"/>
      <c r="B51" s="4"/>
      <c r="C51" s="6" t="s">
        <v>191</v>
      </c>
      <c r="D51" s="7"/>
      <c r="E51" s="210">
        <v>150000</v>
      </c>
      <c r="F51" s="49"/>
      <c r="J51" s="28"/>
      <c r="K51" t="s">
        <v>192</v>
      </c>
      <c r="L51" s="97">
        <f>70+15+5+3</f>
        <v>93</v>
      </c>
      <c r="M51" t="s">
        <v>193</v>
      </c>
      <c r="N51" s="42">
        <f>+L51*J51</f>
        <v>0</v>
      </c>
      <c r="O51" t="s">
        <v>194</v>
      </c>
    </row>
    <row r="52" spans="1:15" x14ac:dyDescent="0.25">
      <c r="A52" s="4"/>
      <c r="B52" s="4"/>
      <c r="C52" s="6" t="s">
        <v>195</v>
      </c>
      <c r="D52" s="7"/>
      <c r="E52" s="210">
        <f>(0)+N55+N56</f>
        <v>100060</v>
      </c>
      <c r="J52" s="28"/>
      <c r="K52" t="s">
        <v>192</v>
      </c>
      <c r="L52" s="97">
        <f>90+25+5+3</f>
        <v>123</v>
      </c>
      <c r="M52" t="s">
        <v>193</v>
      </c>
      <c r="N52" s="42">
        <f>+L52*J52</f>
        <v>0</v>
      </c>
      <c r="O52" t="s">
        <v>196</v>
      </c>
    </row>
    <row r="53" spans="1:15" x14ac:dyDescent="0.25">
      <c r="A53" s="4"/>
      <c r="B53" s="4"/>
      <c r="C53" s="6" t="s">
        <v>197</v>
      </c>
      <c r="D53" s="7"/>
      <c r="E53" s="210"/>
      <c r="J53" s="28">
        <v>4</v>
      </c>
      <c r="K53" t="s">
        <v>192</v>
      </c>
      <c r="L53" s="97">
        <v>25000</v>
      </c>
      <c r="M53" t="s">
        <v>193</v>
      </c>
      <c r="N53" s="42">
        <f>+L53*J53</f>
        <v>100000</v>
      </c>
      <c r="O53" t="s">
        <v>198</v>
      </c>
    </row>
    <row r="54" spans="1:15" ht="6" customHeight="1" x14ac:dyDescent="0.25">
      <c r="A54" s="4"/>
      <c r="B54" s="4"/>
      <c r="C54" s="4"/>
      <c r="D54" s="8"/>
      <c r="E54" s="64"/>
    </row>
    <row r="55" spans="1:15" ht="17.399999999999999" x14ac:dyDescent="0.55000000000000004">
      <c r="A55" s="4"/>
      <c r="B55" s="737" t="s">
        <v>137</v>
      </c>
      <c r="C55" s="738"/>
      <c r="D55" s="9"/>
      <c r="E55" s="120">
        <f>SUM(E56:E59)</f>
        <v>0</v>
      </c>
      <c r="F55" s="42"/>
      <c r="J55" s="28"/>
      <c r="N55" s="424">
        <f>+SUM(N51:N53)</f>
        <v>100000</v>
      </c>
    </row>
    <row r="56" spans="1:15" x14ac:dyDescent="0.25">
      <c r="A56" s="4"/>
      <c r="B56" s="4"/>
      <c r="C56" s="6" t="s">
        <v>199</v>
      </c>
      <c r="D56" s="7"/>
      <c r="E56" s="210">
        <v>0</v>
      </c>
      <c r="F56" s="49"/>
      <c r="K56" t="s">
        <v>200</v>
      </c>
      <c r="N56" s="97">
        <v>60</v>
      </c>
    </row>
    <row r="57" spans="1:15" x14ac:dyDescent="0.25">
      <c r="A57" s="4"/>
      <c r="B57" s="4"/>
      <c r="C57" s="6" t="s">
        <v>201</v>
      </c>
      <c r="D57" s="7"/>
      <c r="E57" s="210">
        <v>0</v>
      </c>
    </row>
    <row r="58" spans="1:15" x14ac:dyDescent="0.25">
      <c r="A58" s="4"/>
      <c r="B58" s="4"/>
      <c r="C58" s="6" t="s">
        <v>202</v>
      </c>
      <c r="D58" s="7"/>
      <c r="E58" s="210">
        <v>0</v>
      </c>
    </row>
    <row r="59" spans="1:15" x14ac:dyDescent="0.25">
      <c r="A59" s="4"/>
      <c r="B59" s="4"/>
      <c r="C59" s="6" t="s">
        <v>203</v>
      </c>
      <c r="D59" s="7"/>
      <c r="E59" s="210">
        <v>0</v>
      </c>
    </row>
    <row r="60" spans="1:15" ht="6" customHeight="1" x14ac:dyDescent="0.25">
      <c r="A60" s="4"/>
      <c r="B60" s="4"/>
      <c r="C60" s="4"/>
      <c r="D60" s="8"/>
      <c r="E60" s="64"/>
    </row>
    <row r="61" spans="1:15" ht="13.8" x14ac:dyDescent="0.25">
      <c r="A61" s="4"/>
      <c r="B61" s="739" t="s">
        <v>138</v>
      </c>
      <c r="C61" s="740"/>
      <c r="D61" s="11"/>
      <c r="E61" s="120">
        <f>SUM(E62:E65)</f>
        <v>344166.66666666669</v>
      </c>
      <c r="F61" s="42"/>
    </row>
    <row r="62" spans="1:15" x14ac:dyDescent="0.25">
      <c r="A62" s="4"/>
      <c r="B62" s="4"/>
      <c r="C62" s="6" t="s">
        <v>204</v>
      </c>
      <c r="D62" s="552">
        <v>0.02</v>
      </c>
      <c r="E62" s="190">
        <f>+'5 AMORTIZACIÓN'!F62/12*D62</f>
        <v>40000</v>
      </c>
      <c r="F62" s="49"/>
    </row>
    <row r="63" spans="1:15" x14ac:dyDescent="0.25">
      <c r="A63" s="4"/>
      <c r="B63" s="4"/>
      <c r="C63" s="6" t="s">
        <v>205</v>
      </c>
      <c r="D63" s="552">
        <v>0.03</v>
      </c>
      <c r="E63" s="190">
        <f>+'5 AMORTIZACIÓN'!F36/12*D63</f>
        <v>0</v>
      </c>
    </row>
    <row r="64" spans="1:15" x14ac:dyDescent="0.25">
      <c r="A64" s="4"/>
      <c r="B64" s="4"/>
      <c r="C64" s="6" t="s">
        <v>206</v>
      </c>
      <c r="D64" s="552">
        <v>0.05</v>
      </c>
      <c r="E64" s="190">
        <f>+'5 AMORTIZACIÓN'!F49/12*D64</f>
        <v>16666.666666666668</v>
      </c>
    </row>
    <row r="65" spans="1:10" x14ac:dyDescent="0.25">
      <c r="A65" s="4"/>
      <c r="B65" s="4"/>
      <c r="C65" s="6" t="s">
        <v>207</v>
      </c>
      <c r="D65" s="552">
        <v>0.03</v>
      </c>
      <c r="E65" s="190">
        <f>+'5 AMORTIZACIÓN'!F10/12*D65</f>
        <v>287500</v>
      </c>
    </row>
    <row r="66" spans="1:10" ht="6" customHeight="1" x14ac:dyDescent="0.25">
      <c r="A66" s="4"/>
      <c r="B66" s="4"/>
      <c r="C66" s="4"/>
      <c r="D66" s="8"/>
      <c r="E66" s="64"/>
    </row>
    <row r="67" spans="1:10" ht="13.8" x14ac:dyDescent="0.25">
      <c r="A67" s="4"/>
      <c r="B67" s="737" t="s">
        <v>139</v>
      </c>
      <c r="C67" s="738"/>
      <c r="D67" s="9"/>
      <c r="E67" s="120">
        <f>SUM(E68:E71)</f>
        <v>60000</v>
      </c>
      <c r="F67" s="42"/>
    </row>
    <row r="68" spans="1:10" x14ac:dyDescent="0.25">
      <c r="A68" s="4"/>
      <c r="B68" s="4"/>
      <c r="C68" s="6" t="s">
        <v>208</v>
      </c>
      <c r="D68" s="552"/>
      <c r="E68" s="210"/>
      <c r="F68" s="49"/>
    </row>
    <row r="69" spans="1:10" x14ac:dyDescent="0.25">
      <c r="A69" s="4"/>
      <c r="B69" s="4"/>
      <c r="C69" s="6" t="s">
        <v>209</v>
      </c>
      <c r="D69" s="553">
        <v>0.03</v>
      </c>
      <c r="E69" s="190">
        <f>'5 AMORTIZACIÓN'!$F$62*D69/12</f>
        <v>60000</v>
      </c>
    </row>
    <row r="70" spans="1:10" x14ac:dyDescent="0.25">
      <c r="A70" s="4"/>
      <c r="B70" s="4"/>
      <c r="C70" s="6" t="s">
        <v>210</v>
      </c>
      <c r="D70" s="553">
        <v>0</v>
      </c>
      <c r="E70" s="190">
        <f>(E11+E19+E25+E33+E40)*1.1*D70</f>
        <v>0</v>
      </c>
    </row>
    <row r="71" spans="1:10" x14ac:dyDescent="0.25">
      <c r="A71" s="4"/>
      <c r="B71" s="4"/>
      <c r="C71" s="6" t="s">
        <v>211</v>
      </c>
      <c r="D71" s="553">
        <v>0</v>
      </c>
      <c r="E71" s="190">
        <f>+(E11+E19+E25+E33)*D71</f>
        <v>0</v>
      </c>
    </row>
    <row r="72" spans="1:10" ht="6" customHeight="1" x14ac:dyDescent="0.25">
      <c r="A72" s="4"/>
      <c r="B72" s="4"/>
      <c r="C72" s="4"/>
      <c r="D72" s="8"/>
      <c r="E72" s="64"/>
    </row>
    <row r="73" spans="1:10" ht="13.8" x14ac:dyDescent="0.25">
      <c r="A73" s="4"/>
      <c r="B73" s="739" t="s">
        <v>140</v>
      </c>
      <c r="C73" s="740"/>
      <c r="D73" s="11"/>
      <c r="E73" s="120">
        <f>SUM(E74:E78)</f>
        <v>283333.33333333331</v>
      </c>
      <c r="F73" s="42"/>
    </row>
    <row r="74" spans="1:10" x14ac:dyDescent="0.25">
      <c r="A74" s="4"/>
      <c r="B74" s="4"/>
      <c r="C74" s="6" t="s">
        <v>212</v>
      </c>
      <c r="D74" s="553"/>
      <c r="E74" s="210">
        <f>2*100000</f>
        <v>200000</v>
      </c>
      <c r="F74" s="49"/>
      <c r="I74">
        <v>30000</v>
      </c>
    </row>
    <row r="75" spans="1:10" x14ac:dyDescent="0.25">
      <c r="A75" s="4"/>
      <c r="B75" s="56"/>
      <c r="C75" s="6" t="s">
        <v>213</v>
      </c>
      <c r="D75" s="557">
        <f>+E75/$E$9</f>
        <v>2.2936785013144955E-3</v>
      </c>
      <c r="E75" s="190">
        <f>+I75/12/2</f>
        <v>83333.333333333328</v>
      </c>
      <c r="I75" s="42">
        <v>2000000</v>
      </c>
      <c r="J75" t="s">
        <v>214</v>
      </c>
    </row>
    <row r="76" spans="1:10" x14ac:dyDescent="0.25">
      <c r="A76" s="4"/>
      <c r="B76" s="4"/>
      <c r="C76" s="6" t="s">
        <v>215</v>
      </c>
      <c r="D76" s="553"/>
      <c r="E76" s="210">
        <f>+I76</f>
        <v>0</v>
      </c>
      <c r="I76" s="97"/>
    </row>
    <row r="77" spans="1:10" x14ac:dyDescent="0.25">
      <c r="A77" s="4"/>
      <c r="B77" s="4"/>
      <c r="C77" s="6" t="s">
        <v>216</v>
      </c>
      <c r="D77" s="553"/>
      <c r="E77" s="210">
        <v>0</v>
      </c>
    </row>
    <row r="78" spans="1:10" x14ac:dyDescent="0.25">
      <c r="A78" s="4"/>
      <c r="B78" s="4"/>
      <c r="C78" s="6" t="s">
        <v>217</v>
      </c>
      <c r="D78" s="553"/>
      <c r="E78" s="210">
        <v>0</v>
      </c>
    </row>
    <row r="79" spans="1:10" ht="6" customHeight="1" x14ac:dyDescent="0.25">
      <c r="A79" s="4"/>
      <c r="B79" s="4"/>
      <c r="C79" s="4"/>
      <c r="D79" s="8"/>
      <c r="E79" s="64"/>
    </row>
    <row r="80" spans="1:10" ht="13.8" x14ac:dyDescent="0.25">
      <c r="A80" s="4"/>
      <c r="B80" s="739" t="s">
        <v>141</v>
      </c>
      <c r="C80" s="740"/>
      <c r="D80" s="11"/>
      <c r="E80" s="120">
        <f>SUM(E81:E86)</f>
        <v>1200000</v>
      </c>
    </row>
    <row r="81" spans="1:11" x14ac:dyDescent="0.25">
      <c r="A81" s="4"/>
      <c r="B81" s="4"/>
      <c r="C81" s="6" t="s">
        <v>218</v>
      </c>
      <c r="D81" s="553"/>
      <c r="E81" s="210">
        <v>0</v>
      </c>
      <c r="I81" s="67"/>
    </row>
    <row r="82" spans="1:11" ht="16.8" x14ac:dyDescent="0.55000000000000004">
      <c r="A82" s="4"/>
      <c r="B82" s="4"/>
      <c r="C82" s="6" t="s">
        <v>219</v>
      </c>
      <c r="D82" s="553"/>
      <c r="E82" s="210">
        <v>0</v>
      </c>
      <c r="I82" s="404"/>
    </row>
    <row r="83" spans="1:11" x14ac:dyDescent="0.25">
      <c r="A83" s="4"/>
      <c r="B83" s="4"/>
      <c r="C83" s="6" t="s">
        <v>220</v>
      </c>
      <c r="D83" s="553"/>
      <c r="E83" s="210">
        <v>0</v>
      </c>
      <c r="I83" s="28"/>
      <c r="J83" s="28"/>
    </row>
    <row r="84" spans="1:11" x14ac:dyDescent="0.25">
      <c r="A84" s="4"/>
      <c r="B84" s="4"/>
      <c r="C84" s="6" t="s">
        <v>221</v>
      </c>
      <c r="D84" s="553">
        <v>0</v>
      </c>
      <c r="E84" s="190">
        <f>+I84*D84*J84/(12*'Hoja de CIERRE'!AD45)</f>
        <v>0</v>
      </c>
      <c r="I84" s="410"/>
      <c r="J84" s="28"/>
    </row>
    <row r="85" spans="1:11" x14ac:dyDescent="0.25">
      <c r="A85" s="4"/>
      <c r="B85" s="4"/>
      <c r="C85" s="6" t="s">
        <v>222</v>
      </c>
      <c r="D85" s="553"/>
      <c r="E85" s="210">
        <v>1200000</v>
      </c>
      <c r="F85" t="s">
        <v>853</v>
      </c>
    </row>
    <row r="86" spans="1:11" ht="15" customHeight="1" x14ac:dyDescent="0.25">
      <c r="A86" s="4"/>
      <c r="B86" s="4"/>
      <c r="C86" s="6" t="s">
        <v>223</v>
      </c>
      <c r="D86" s="553"/>
      <c r="E86" s="210">
        <f>0+K86</f>
        <v>0</v>
      </c>
      <c r="I86" s="97"/>
      <c r="J86" s="28"/>
      <c r="K86" s="42"/>
    </row>
    <row r="87" spans="1:11" ht="13.5" customHeight="1" x14ac:dyDescent="0.25">
      <c r="A87" s="12"/>
      <c r="B87" s="4"/>
      <c r="C87" s="4"/>
      <c r="D87" s="4"/>
      <c r="E87" s="67"/>
    </row>
    <row r="88" spans="1:11" ht="13.5" customHeight="1" x14ac:dyDescent="0.25">
      <c r="A88" s="12"/>
      <c r="B88" s="739" t="s">
        <v>224</v>
      </c>
      <c r="C88" s="740"/>
      <c r="D88" s="11"/>
      <c r="E88" s="120">
        <f>SUM(E89:E92)</f>
        <v>0</v>
      </c>
    </row>
    <row r="89" spans="1:11" ht="13.5" customHeight="1" x14ac:dyDescent="0.25">
      <c r="A89" s="12"/>
      <c r="B89" s="4"/>
      <c r="C89" s="6" t="s">
        <v>225</v>
      </c>
      <c r="D89" s="553"/>
      <c r="E89" s="190">
        <f>'1 MANO DE OBRA'!E53</f>
        <v>0</v>
      </c>
      <c r="I89" s="97"/>
      <c r="J89" t="s">
        <v>226</v>
      </c>
    </row>
    <row r="90" spans="1:11" ht="13.5" customHeight="1" x14ac:dyDescent="0.25">
      <c r="A90" s="12"/>
      <c r="B90" s="4"/>
      <c r="C90" s="6" t="s">
        <v>227</v>
      </c>
      <c r="D90" s="553"/>
      <c r="E90" s="190">
        <f>'1 MANO DE OBRA'!E58</f>
        <v>0</v>
      </c>
    </row>
    <row r="91" spans="1:11" ht="13.5" customHeight="1" x14ac:dyDescent="0.25">
      <c r="A91" s="12"/>
      <c r="B91" s="4"/>
      <c r="C91" s="6" t="s">
        <v>145</v>
      </c>
      <c r="D91" s="553"/>
      <c r="E91" s="190">
        <f>'1 MANO DE OBRA'!E63</f>
        <v>0</v>
      </c>
    </row>
    <row r="92" spans="1:11" ht="13.5" customHeight="1" x14ac:dyDescent="0.25">
      <c r="A92" s="12"/>
      <c r="B92" s="4"/>
      <c r="C92" s="6" t="s">
        <v>146</v>
      </c>
      <c r="D92" s="553"/>
      <c r="E92" s="190">
        <f>'1 MANO DE OBRA'!E68</f>
        <v>0</v>
      </c>
    </row>
    <row r="93" spans="1:11" ht="13.5" customHeight="1" x14ac:dyDescent="0.25">
      <c r="A93" s="12"/>
      <c r="B93" s="4"/>
      <c r="C93" s="4"/>
      <c r="D93" s="4"/>
      <c r="E93" s="67"/>
    </row>
    <row r="94" spans="1:11" ht="13.5" customHeight="1" x14ac:dyDescent="0.25">
      <c r="A94" s="12"/>
      <c r="B94" s="4"/>
      <c r="C94" s="4"/>
      <c r="D94" s="4"/>
      <c r="E94" s="67"/>
    </row>
    <row r="95" spans="1:11" x14ac:dyDescent="0.25">
      <c r="A95" s="4"/>
      <c r="B95" s="12"/>
      <c r="C95" s="4"/>
      <c r="D95" s="741" t="s">
        <v>228</v>
      </c>
      <c r="E95" s="742"/>
      <c r="F95" s="741" t="s">
        <v>229</v>
      </c>
      <c r="G95" s="742"/>
    </row>
    <row r="96" spans="1:11" x14ac:dyDescent="0.25">
      <c r="A96" s="4"/>
      <c r="B96" s="4"/>
      <c r="C96" s="4"/>
      <c r="D96" s="743"/>
      <c r="E96" s="744"/>
      <c r="F96" s="743"/>
      <c r="G96" s="744"/>
    </row>
    <row r="97" spans="1:7" x14ac:dyDescent="0.25">
      <c r="A97" s="4"/>
      <c r="B97" s="180"/>
      <c r="C97" s="4"/>
      <c r="D97" s="745"/>
      <c r="E97" s="746"/>
      <c r="F97" s="745"/>
      <c r="G97" s="746"/>
    </row>
  </sheetData>
  <mergeCells count="22">
    <mergeCell ref="F95:G97"/>
    <mergeCell ref="A48:C48"/>
    <mergeCell ref="B50:C50"/>
    <mergeCell ref="B55:C55"/>
    <mergeCell ref="B61:C61"/>
    <mergeCell ref="B67:C67"/>
    <mergeCell ref="B73:C73"/>
    <mergeCell ref="A33:C33"/>
    <mergeCell ref="A40:C40"/>
    <mergeCell ref="B80:C80"/>
    <mergeCell ref="B88:C88"/>
    <mergeCell ref="D95:E97"/>
    <mergeCell ref="A7:C7"/>
    <mergeCell ref="A9:D9"/>
    <mergeCell ref="A11:C11"/>
    <mergeCell ref="A19:C19"/>
    <mergeCell ref="A25:C25"/>
    <mergeCell ref="A1:G1"/>
    <mergeCell ref="C2:E2"/>
    <mergeCell ref="C3:E3"/>
    <mergeCell ref="C4:E4"/>
    <mergeCell ref="C5:E5"/>
  </mergeCells>
  <printOptions horizontalCentered="1"/>
  <pageMargins left="0.42" right="0.3" top="0.5" bottom="0.73" header="0" footer="0"/>
  <pageSetup paperSize="9" scale="49" orientation="portrait" horizontalDpi="300" verticalDpi="300" r:id="rId1"/>
  <headerFooter alignWithMargins="0">
    <oddFooter>&amp;L&amp;"Arial,Negrita"Polymont Argentina SA Confidencial
&amp;"Arial,Normal"&amp;8CALI-F-052-04/03/02&amp;C&amp;P/&amp;N&amp;R&amp;6&amp;D/&amp;T/&amp;F/&amp;A
Edita : D. SPONTON / Revisa : L. CHIALVO / Aprueba : G. JORAY</oddFooter>
  </headerFooter>
  <rowBreaks count="1" manualBreakCount="1">
    <brk id="46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86"/>
  <sheetViews>
    <sheetView showGridLines="0" view="pageBreakPreview" topLeftCell="A16" zoomScale="68" zoomScaleNormal="100" zoomScaleSheetLayoutView="68" workbookViewId="0">
      <selection activeCell="C19" sqref="C19"/>
    </sheetView>
  </sheetViews>
  <sheetFormatPr baseColWidth="10" defaultColWidth="11.44140625" defaultRowHeight="13.2" x14ac:dyDescent="0.25"/>
  <cols>
    <col min="1" max="1" width="3" customWidth="1"/>
    <col min="2" max="2" width="53.44140625" bestFit="1" customWidth="1"/>
    <col min="3" max="3" width="17" customWidth="1"/>
    <col min="4" max="4" width="12.6640625" customWidth="1"/>
    <col min="5" max="5" width="18.5546875" customWidth="1"/>
    <col min="6" max="6" width="13.44140625" bestFit="1" customWidth="1"/>
    <col min="7" max="7" width="11.88671875" bestFit="1" customWidth="1"/>
    <col min="8" max="8" width="11.5546875" customWidth="1"/>
    <col min="9" max="10" width="20.6640625" customWidth="1"/>
    <col min="11" max="11" width="31.5546875" customWidth="1"/>
    <col min="12" max="12" width="24.6640625" bestFit="1" customWidth="1"/>
    <col min="13" max="13" width="12.109375" bestFit="1" customWidth="1"/>
    <col min="14" max="14" width="5.5546875" style="28" bestFit="1" customWidth="1"/>
    <col min="15" max="15" width="3.109375" customWidth="1"/>
  </cols>
  <sheetData>
    <row r="1" spans="2:12" ht="21" x14ac:dyDescent="0.4">
      <c r="B1" s="30"/>
      <c r="C1" s="613" t="s">
        <v>230</v>
      </c>
      <c r="D1" s="613"/>
      <c r="E1" s="613"/>
      <c r="F1" s="613"/>
      <c r="G1" s="613"/>
      <c r="H1" s="613"/>
      <c r="I1" s="613"/>
      <c r="J1" s="98"/>
      <c r="K1" s="99"/>
      <c r="L1" s="100"/>
    </row>
    <row r="2" spans="2:12" ht="10.5" customHeight="1" x14ac:dyDescent="0.4">
      <c r="B2" s="2"/>
      <c r="C2" s="205"/>
      <c r="D2" s="205"/>
      <c r="E2" s="205"/>
      <c r="F2" s="205"/>
      <c r="G2" s="205"/>
      <c r="H2" s="205"/>
      <c r="I2" s="205"/>
      <c r="J2" s="4"/>
      <c r="L2" s="206"/>
    </row>
    <row r="3" spans="2:12" x14ac:dyDescent="0.25">
      <c r="B3" s="558" t="s">
        <v>54</v>
      </c>
      <c r="C3" s="559" t="str">
        <f>'Sintesis Economica'!C2</f>
        <v>PAMPA</v>
      </c>
      <c r="D3" s="559"/>
      <c r="E3" s="559"/>
      <c r="F3" s="559"/>
      <c r="G3" s="559"/>
      <c r="H3" s="559"/>
      <c r="K3" s="3" t="s">
        <v>113</v>
      </c>
      <c r="L3" s="110" t="str">
        <f>'Sintesis Economica'!J2</f>
        <v>SHM</v>
      </c>
    </row>
    <row r="4" spans="2:12" x14ac:dyDescent="0.25">
      <c r="B4" s="558" t="s">
        <v>114</v>
      </c>
      <c r="C4" s="559" t="str">
        <f>'Sintesis Economica'!C3</f>
        <v>PAMPA SERVICIOS MENORES CIVILES</v>
      </c>
      <c r="D4" s="559"/>
      <c r="E4" s="559"/>
      <c r="F4" s="559"/>
      <c r="G4" s="559"/>
      <c r="H4" s="559"/>
      <c r="K4" s="3" t="s">
        <v>115</v>
      </c>
      <c r="L4" s="110" t="str">
        <f>'Sintesis Economica'!J3</f>
        <v>SHM</v>
      </c>
    </row>
    <row r="5" spans="2:12" x14ac:dyDescent="0.25">
      <c r="B5" s="558" t="s">
        <v>231</v>
      </c>
      <c r="C5" s="559" t="str">
        <f>'Sintesis Economica'!C5</f>
        <v>Nº LICITACIÓN: SIN</v>
      </c>
      <c r="D5" s="559"/>
      <c r="E5" s="559"/>
      <c r="F5" s="559"/>
      <c r="G5" s="559"/>
      <c r="H5" s="559"/>
      <c r="K5" s="3" t="s">
        <v>58</v>
      </c>
      <c r="L5" s="110">
        <f>'Sintesis Economica'!J4</f>
        <v>0</v>
      </c>
    </row>
    <row r="6" spans="2:12" ht="13.8" thickBot="1" x14ac:dyDescent="0.3">
      <c r="B6" s="560" t="s">
        <v>61</v>
      </c>
      <c r="C6" s="561" t="str">
        <f>'Sintesis Economica'!C6</f>
        <v>PRE-ARG-1340</v>
      </c>
      <c r="D6" s="562"/>
      <c r="E6" s="562"/>
      <c r="F6" s="562"/>
      <c r="G6" s="562"/>
      <c r="H6" s="562"/>
      <c r="I6" s="22"/>
      <c r="J6" s="22"/>
      <c r="K6" s="108" t="s">
        <v>60</v>
      </c>
      <c r="L6" s="109">
        <f>'Sintesis Economica'!J5</f>
        <v>46199</v>
      </c>
    </row>
    <row r="7" spans="2:12" x14ac:dyDescent="0.25">
      <c r="B7" s="563"/>
      <c r="C7" s="559"/>
      <c r="D7" s="559"/>
      <c r="E7" s="559"/>
      <c r="F7" s="559"/>
      <c r="G7" s="559"/>
      <c r="H7" s="559"/>
      <c r="I7" s="4"/>
      <c r="J7" s="4"/>
      <c r="K7" s="121"/>
      <c r="L7" s="122"/>
    </row>
    <row r="8" spans="2:12" x14ac:dyDescent="0.25">
      <c r="B8" s="563"/>
      <c r="C8" s="614" t="s">
        <v>232</v>
      </c>
      <c r="D8" s="615"/>
      <c r="E8" s="615"/>
      <c r="F8" s="616"/>
      <c r="G8" s="564">
        <v>1.5</v>
      </c>
      <c r="H8" s="564">
        <v>2</v>
      </c>
      <c r="I8" s="4"/>
      <c r="J8" s="4"/>
      <c r="K8" s="121"/>
      <c r="L8" s="122"/>
    </row>
    <row r="9" spans="2:12" x14ac:dyDescent="0.25">
      <c r="B9" s="563"/>
      <c r="C9" s="559"/>
      <c r="D9" s="565">
        <v>0</v>
      </c>
      <c r="E9" s="565">
        <v>0</v>
      </c>
      <c r="F9" s="559"/>
      <c r="G9" s="559"/>
      <c r="H9" s="559"/>
      <c r="I9" s="4"/>
      <c r="J9" s="4"/>
      <c r="K9" s="121"/>
      <c r="L9" s="122"/>
    </row>
    <row r="10" spans="2:12" ht="15.6" x14ac:dyDescent="0.3">
      <c r="B10" s="617" t="s">
        <v>72</v>
      </c>
      <c r="C10" s="617"/>
      <c r="D10" s="617"/>
      <c r="E10" s="617"/>
      <c r="F10" s="617"/>
      <c r="G10" s="617"/>
      <c r="H10" s="617"/>
      <c r="I10" s="617"/>
      <c r="J10" s="617"/>
      <c r="K10" s="617"/>
      <c r="L10" s="617"/>
    </row>
    <row r="11" spans="2:12" ht="38.25" customHeight="1" x14ac:dyDescent="0.25">
      <c r="B11" s="85" t="s">
        <v>233</v>
      </c>
      <c r="C11" s="86" t="s">
        <v>234</v>
      </c>
      <c r="D11" s="86" t="s">
        <v>235</v>
      </c>
      <c r="E11" s="86" t="s">
        <v>236</v>
      </c>
      <c r="F11" s="86" t="s">
        <v>237</v>
      </c>
      <c r="G11" s="86" t="s">
        <v>238</v>
      </c>
      <c r="H11" s="86" t="s">
        <v>239</v>
      </c>
      <c r="I11" s="87" t="s">
        <v>240</v>
      </c>
      <c r="J11" s="87" t="s">
        <v>241</v>
      </c>
      <c r="K11" s="87" t="s">
        <v>242</v>
      </c>
      <c r="L11" s="87" t="s">
        <v>243</v>
      </c>
    </row>
    <row r="12" spans="2:12" x14ac:dyDescent="0.25">
      <c r="B12" s="94"/>
      <c r="C12" s="212"/>
      <c r="D12" s="212"/>
      <c r="E12" s="212"/>
      <c r="F12" s="213"/>
      <c r="G12" s="123">
        <f>+F12*$G$8</f>
        <v>0</v>
      </c>
      <c r="H12" s="123">
        <f>+F12*$H$8</f>
        <v>0</v>
      </c>
      <c r="I12" s="175">
        <f t="shared" ref="I12:K23" si="0">+C12*F12</f>
        <v>0</v>
      </c>
      <c r="J12" s="175">
        <f t="shared" si="0"/>
        <v>0</v>
      </c>
      <c r="K12" s="175">
        <f t="shared" si="0"/>
        <v>0</v>
      </c>
      <c r="L12" s="175">
        <f t="shared" ref="L12:L23" si="1">I12+J12+K12</f>
        <v>0</v>
      </c>
    </row>
    <row r="13" spans="2:12" x14ac:dyDescent="0.25">
      <c r="B13" s="94"/>
      <c r="C13" s="212"/>
      <c r="D13" s="212"/>
      <c r="E13" s="212"/>
      <c r="F13" s="213"/>
      <c r="G13" s="123">
        <f t="shared" ref="G13:G18" si="2">+F13*$G$8</f>
        <v>0</v>
      </c>
      <c r="H13" s="123">
        <f t="shared" ref="H13:H18" si="3">+F13*$H$8</f>
        <v>0</v>
      </c>
      <c r="I13" s="175">
        <f t="shared" si="0"/>
        <v>0</v>
      </c>
      <c r="J13" s="175">
        <f t="shared" si="0"/>
        <v>0</v>
      </c>
      <c r="K13" s="175">
        <f t="shared" si="0"/>
        <v>0</v>
      </c>
      <c r="L13" s="175">
        <f t="shared" si="1"/>
        <v>0</v>
      </c>
    </row>
    <row r="14" spans="2:12" x14ac:dyDescent="0.25">
      <c r="B14" s="514"/>
      <c r="C14" s="566"/>
      <c r="D14" s="212">
        <f>+C14*$D$9</f>
        <v>0</v>
      </c>
      <c r="E14" s="212">
        <f t="shared" ref="E14:E19" si="4">+C14*$E$9</f>
        <v>0</v>
      </c>
      <c r="F14" s="213">
        <f>+'COSTO UNIT.MO_UOM_CAT-GRAL'!P84</f>
        <v>166.36957813428401</v>
      </c>
      <c r="G14" s="123">
        <f t="shared" si="2"/>
        <v>249.55436720142603</v>
      </c>
      <c r="H14" s="123">
        <f t="shared" si="3"/>
        <v>332.73915626856802</v>
      </c>
      <c r="I14" s="175">
        <f t="shared" si="0"/>
        <v>0</v>
      </c>
      <c r="J14" s="175">
        <f t="shared" si="0"/>
        <v>0</v>
      </c>
      <c r="K14" s="175">
        <f t="shared" si="0"/>
        <v>0</v>
      </c>
      <c r="L14" s="175">
        <f t="shared" si="1"/>
        <v>0</v>
      </c>
    </row>
    <row r="15" spans="2:12" x14ac:dyDescent="0.25">
      <c r="B15" s="94"/>
      <c r="C15" s="212"/>
      <c r="D15" s="212">
        <f>+C15*$D$9</f>
        <v>0</v>
      </c>
      <c r="E15" s="212">
        <f t="shared" si="4"/>
        <v>0</v>
      </c>
      <c r="F15" s="213">
        <f>+'COSTO UNIT.MO_UOM_CAT-GRAL'!N84</f>
        <v>177.06476530005941</v>
      </c>
      <c r="G15" s="123">
        <f t="shared" si="2"/>
        <v>265.5971479500891</v>
      </c>
      <c r="H15" s="123">
        <f t="shared" si="3"/>
        <v>354.12953060011881</v>
      </c>
      <c r="I15" s="175">
        <f t="shared" si="0"/>
        <v>0</v>
      </c>
      <c r="J15" s="175">
        <f t="shared" si="0"/>
        <v>0</v>
      </c>
      <c r="K15" s="175">
        <f t="shared" si="0"/>
        <v>0</v>
      </c>
      <c r="L15" s="175">
        <f t="shared" si="1"/>
        <v>0</v>
      </c>
    </row>
    <row r="16" spans="2:12" x14ac:dyDescent="0.25">
      <c r="B16" s="94"/>
      <c r="C16" s="212"/>
      <c r="D16" s="212">
        <f>+C16*$D$9</f>
        <v>0</v>
      </c>
      <c r="E16" s="212">
        <f t="shared" si="4"/>
        <v>0</v>
      </c>
      <c r="F16" s="213">
        <f>+'COSTO UNIT.MO_UOM_CAT-GRAL'!L84</f>
        <v>177.06476530005941</v>
      </c>
      <c r="G16" s="123">
        <f t="shared" si="2"/>
        <v>265.5971479500891</v>
      </c>
      <c r="H16" s="123">
        <f t="shared" si="3"/>
        <v>354.12953060011881</v>
      </c>
      <c r="I16" s="175">
        <f t="shared" si="0"/>
        <v>0</v>
      </c>
      <c r="J16" s="175">
        <f t="shared" si="0"/>
        <v>0</v>
      </c>
      <c r="K16" s="175">
        <f t="shared" si="0"/>
        <v>0</v>
      </c>
      <c r="L16" s="175">
        <f t="shared" si="1"/>
        <v>0</v>
      </c>
    </row>
    <row r="17" spans="2:16" x14ac:dyDescent="0.25">
      <c r="B17" s="610" t="str">
        <f>'COSTO UNIT.MO_UOM_CAT-GRAL'!I13</f>
        <v>MEDIO OFICIAL</v>
      </c>
      <c r="C17" s="212"/>
      <c r="D17" s="212">
        <v>0</v>
      </c>
      <c r="E17" s="212">
        <f t="shared" si="4"/>
        <v>0</v>
      </c>
      <c r="F17" s="213">
        <f>+'COSTO UNIT.MO_UOM_CAT-GRAL'!J84</f>
        <v>177.06476530005941</v>
      </c>
      <c r="G17" s="123">
        <f t="shared" si="2"/>
        <v>265.5971479500891</v>
      </c>
      <c r="H17" s="123">
        <f t="shared" si="3"/>
        <v>354.12953060011881</v>
      </c>
      <c r="I17" s="175">
        <f t="shared" si="0"/>
        <v>0</v>
      </c>
      <c r="J17" s="175">
        <f t="shared" si="0"/>
        <v>0</v>
      </c>
      <c r="K17" s="175">
        <f t="shared" si="0"/>
        <v>0</v>
      </c>
      <c r="L17" s="175">
        <f t="shared" si="1"/>
        <v>0</v>
      </c>
    </row>
    <row r="18" spans="2:16" x14ac:dyDescent="0.25">
      <c r="B18" s="610" t="str">
        <f>'COSTO UNIT.MO_UOM_CAT-GRAL'!G13</f>
        <v>OFICIAL</v>
      </c>
      <c r="C18" s="212">
        <f>7*187</f>
        <v>1309</v>
      </c>
      <c r="D18" s="212">
        <v>0</v>
      </c>
      <c r="E18" s="212">
        <f t="shared" si="4"/>
        <v>0</v>
      </c>
      <c r="F18" s="213">
        <f>+'COSTO UNIT.MO_UOM_CAT-GRAL'!H84</f>
        <v>17223.090045483226</v>
      </c>
      <c r="G18" s="123">
        <f t="shared" si="2"/>
        <v>25834.635068224838</v>
      </c>
      <c r="H18" s="123">
        <f t="shared" si="3"/>
        <v>34446.180090966453</v>
      </c>
      <c r="I18" s="175">
        <f t="shared" si="0"/>
        <v>22545024.869537544</v>
      </c>
      <c r="J18" s="175">
        <f t="shared" si="0"/>
        <v>0</v>
      </c>
      <c r="K18" s="175">
        <f t="shared" si="0"/>
        <v>0</v>
      </c>
      <c r="L18" s="175">
        <f t="shared" si="1"/>
        <v>22545024.869537544</v>
      </c>
    </row>
    <row r="19" spans="2:16" x14ac:dyDescent="0.25">
      <c r="B19" s="514" t="str">
        <f>'COSTO UNIT.MO_UOM_CAT-GRAL'!E13</f>
        <v>OFICIAL ESPACIALIZADO</v>
      </c>
      <c r="C19" s="212"/>
      <c r="D19" s="212">
        <f>+C19*$D$9</f>
        <v>0</v>
      </c>
      <c r="E19" s="212">
        <f t="shared" si="4"/>
        <v>0</v>
      </c>
      <c r="F19" s="213">
        <f>+'COSTO UNIT.MO_UOM_CAT-GRAL'!F84</f>
        <v>18905.250319357045</v>
      </c>
      <c r="G19" s="123">
        <f>+F19*$G$8</f>
        <v>28357.875479035567</v>
      </c>
      <c r="H19" s="123">
        <f>+F19*$H$8</f>
        <v>37810.500638714089</v>
      </c>
      <c r="I19" s="175">
        <f t="shared" si="0"/>
        <v>0</v>
      </c>
      <c r="J19" s="175">
        <f t="shared" si="0"/>
        <v>0</v>
      </c>
      <c r="K19" s="175">
        <f t="shared" si="0"/>
        <v>0</v>
      </c>
      <c r="L19" s="175">
        <f t="shared" si="1"/>
        <v>0</v>
      </c>
    </row>
    <row r="20" spans="2:16" x14ac:dyDescent="0.25">
      <c r="B20" s="343"/>
      <c r="C20" s="215"/>
      <c r="D20" s="212"/>
      <c r="E20" s="212"/>
      <c r="F20" s="213"/>
      <c r="G20" s="123">
        <f>+F20*$G$8</f>
        <v>0</v>
      </c>
      <c r="H20" s="123">
        <f>+F20*$H$8</f>
        <v>0</v>
      </c>
      <c r="I20" s="175">
        <f t="shared" si="0"/>
        <v>0</v>
      </c>
      <c r="J20" s="175">
        <f t="shared" si="0"/>
        <v>0</v>
      </c>
      <c r="K20" s="175">
        <f t="shared" si="0"/>
        <v>0</v>
      </c>
      <c r="L20" s="175">
        <f t="shared" si="1"/>
        <v>0</v>
      </c>
    </row>
    <row r="21" spans="2:16" x14ac:dyDescent="0.25">
      <c r="B21" s="94"/>
      <c r="C21" s="212"/>
      <c r="D21" s="212"/>
      <c r="E21" s="212"/>
      <c r="F21" s="213"/>
      <c r="G21" s="123">
        <f>+F21*$G$8</f>
        <v>0</v>
      </c>
      <c r="H21" s="123">
        <f>+F21*$H$8</f>
        <v>0</v>
      </c>
      <c r="I21" s="175">
        <f t="shared" si="0"/>
        <v>0</v>
      </c>
      <c r="J21" s="175">
        <f t="shared" si="0"/>
        <v>0</v>
      </c>
      <c r="K21" s="175">
        <f t="shared" si="0"/>
        <v>0</v>
      </c>
      <c r="L21" s="175">
        <f t="shared" si="1"/>
        <v>0</v>
      </c>
    </row>
    <row r="22" spans="2:16" x14ac:dyDescent="0.25">
      <c r="B22" s="94"/>
      <c r="C22" s="212"/>
      <c r="D22" s="212"/>
      <c r="E22" s="212"/>
      <c r="F22" s="213"/>
      <c r="G22" s="123">
        <f>+F22*$G$8</f>
        <v>0</v>
      </c>
      <c r="H22" s="123">
        <f>+F22*$H$8</f>
        <v>0</v>
      </c>
      <c r="I22" s="175">
        <f t="shared" si="0"/>
        <v>0</v>
      </c>
      <c r="J22" s="175">
        <f t="shared" si="0"/>
        <v>0</v>
      </c>
      <c r="K22" s="175">
        <f t="shared" si="0"/>
        <v>0</v>
      </c>
      <c r="L22" s="175">
        <f t="shared" si="1"/>
        <v>0</v>
      </c>
    </row>
    <row r="23" spans="2:16" ht="13.8" thickBot="1" x14ac:dyDescent="0.3">
      <c r="B23" s="94"/>
      <c r="C23" s="214"/>
      <c r="D23" s="212"/>
      <c r="E23" s="212"/>
      <c r="F23" s="213"/>
      <c r="G23" s="123"/>
      <c r="H23" s="123"/>
      <c r="I23" s="175">
        <f t="shared" si="0"/>
        <v>0</v>
      </c>
      <c r="J23" s="175">
        <f t="shared" si="0"/>
        <v>0</v>
      </c>
      <c r="K23" s="175">
        <f t="shared" si="0"/>
        <v>0</v>
      </c>
      <c r="L23" s="175">
        <f t="shared" si="1"/>
        <v>0</v>
      </c>
    </row>
    <row r="24" spans="2:16" ht="13.8" thickBot="1" x14ac:dyDescent="0.3">
      <c r="B24" s="112" t="s">
        <v>244</v>
      </c>
      <c r="C24" s="114">
        <f>+SUM(C12:C23)</f>
        <v>1309</v>
      </c>
      <c r="D24" s="114">
        <f>+SUM(D12:D23)</f>
        <v>0</v>
      </c>
      <c r="E24" s="114">
        <f>+SUM(E12:E23)</f>
        <v>0</v>
      </c>
      <c r="F24" s="102"/>
      <c r="G24" s="102"/>
      <c r="H24" s="102"/>
      <c r="I24" s="101">
        <f>SUM(I12:I23)</f>
        <v>22545024.869537544</v>
      </c>
      <c r="J24" s="101">
        <f>SUM(J12:J23)</f>
        <v>0</v>
      </c>
      <c r="K24" s="101">
        <f>SUM(K12:K23)</f>
        <v>0</v>
      </c>
      <c r="L24" s="101">
        <f>SUM(L12:L23)</f>
        <v>22545024.869537544</v>
      </c>
      <c r="M24" s="166">
        <f>+I24/C24</f>
        <v>17223.090045483226</v>
      </c>
      <c r="P24">
        <f>C24/187</f>
        <v>7</v>
      </c>
    </row>
    <row r="25" spans="2:16" ht="38.25" customHeight="1" x14ac:dyDescent="0.25">
      <c r="B25" s="85" t="s">
        <v>245</v>
      </c>
      <c r="C25" s="113" t="s">
        <v>246</v>
      </c>
      <c r="D25" s="86" t="s">
        <v>247</v>
      </c>
      <c r="E25" s="86" t="s">
        <v>248</v>
      </c>
      <c r="F25" s="86" t="s">
        <v>237</v>
      </c>
      <c r="G25" s="86" t="s">
        <v>238</v>
      </c>
      <c r="H25" s="86" t="s">
        <v>239</v>
      </c>
      <c r="I25" s="87" t="s">
        <v>240</v>
      </c>
      <c r="J25" s="87" t="s">
        <v>249</v>
      </c>
      <c r="K25" s="87" t="s">
        <v>250</v>
      </c>
      <c r="L25" s="87" t="s">
        <v>251</v>
      </c>
    </row>
    <row r="26" spans="2:16" x14ac:dyDescent="0.25">
      <c r="B26" s="343" t="str">
        <f>+'COSTO MO FC'!B8</f>
        <v>ADMINITRADOR DE CONTRATO</v>
      </c>
      <c r="C26" s="215">
        <v>0</v>
      </c>
      <c r="D26" s="212">
        <f t="shared" ref="D26:D33" si="5">+C26*0%</f>
        <v>0</v>
      </c>
      <c r="E26" s="212">
        <f t="shared" ref="E26:E33" si="6">+C26*0%</f>
        <v>0</v>
      </c>
      <c r="F26" s="213">
        <f>+'COSTO MO FC'!AJ8</f>
        <v>22344.414214813336</v>
      </c>
      <c r="G26" s="123">
        <f t="shared" ref="G26:G35" si="7">+F26*$G$8</f>
        <v>33516.621322220002</v>
      </c>
      <c r="H26" s="123">
        <f t="shared" ref="H26:H35" si="8">+F26*$H$8</f>
        <v>44688.828429626672</v>
      </c>
      <c r="I26" s="175">
        <f t="shared" ref="I26:K35" si="9">+C26*F26</f>
        <v>0</v>
      </c>
      <c r="J26" s="175">
        <f t="shared" si="9"/>
        <v>0</v>
      </c>
      <c r="K26" s="175">
        <f t="shared" si="9"/>
        <v>0</v>
      </c>
      <c r="L26" s="175">
        <f t="shared" ref="L26:L35" si="10">I26+J26+K26</f>
        <v>0</v>
      </c>
      <c r="M26" s="88"/>
    </row>
    <row r="27" spans="2:16" x14ac:dyDescent="0.25">
      <c r="B27" s="343" t="str">
        <f>+'COSTO MO FC'!B9</f>
        <v>JEFE DE S&amp;SO, MA y CALIDAD</v>
      </c>
      <c r="C27" s="215">
        <v>8</v>
      </c>
      <c r="D27" s="212">
        <f t="shared" si="5"/>
        <v>0</v>
      </c>
      <c r="E27" s="212">
        <f t="shared" si="6"/>
        <v>0</v>
      </c>
      <c r="F27" s="213">
        <f>+'COSTO MO FC'!AJ9</f>
        <v>16012.986753888892</v>
      </c>
      <c r="G27" s="123">
        <f t="shared" si="7"/>
        <v>24019.480130833337</v>
      </c>
      <c r="H27" s="123">
        <f t="shared" si="8"/>
        <v>32025.973507777784</v>
      </c>
      <c r="I27" s="175">
        <f t="shared" si="9"/>
        <v>128103.89403111114</v>
      </c>
      <c r="J27" s="175">
        <f t="shared" si="9"/>
        <v>0</v>
      </c>
      <c r="K27" s="175">
        <f t="shared" si="9"/>
        <v>0</v>
      </c>
      <c r="L27" s="175">
        <f t="shared" si="10"/>
        <v>128103.89403111114</v>
      </c>
      <c r="M27" s="88"/>
      <c r="N27" s="439"/>
    </row>
    <row r="28" spans="2:16" x14ac:dyDescent="0.25">
      <c r="B28" s="343" t="str">
        <f>+'COSTO MO FC'!B10</f>
        <v>TECNICOS SEGURIDAD</v>
      </c>
      <c r="C28" s="215">
        <v>100</v>
      </c>
      <c r="D28" s="212">
        <f t="shared" si="5"/>
        <v>0</v>
      </c>
      <c r="E28" s="212">
        <f t="shared" si="6"/>
        <v>0</v>
      </c>
      <c r="F28" s="213">
        <f>+'COSTO MO FC'!AJ10</f>
        <v>15420.396815000002</v>
      </c>
      <c r="G28" s="123">
        <f t="shared" si="7"/>
        <v>23130.595222500004</v>
      </c>
      <c r="H28" s="123">
        <f t="shared" si="8"/>
        <v>30840.793630000004</v>
      </c>
      <c r="I28" s="175">
        <f t="shared" si="9"/>
        <v>1542039.6815000002</v>
      </c>
      <c r="J28" s="175">
        <f t="shared" si="9"/>
        <v>0</v>
      </c>
      <c r="K28" s="175">
        <f t="shared" si="9"/>
        <v>0</v>
      </c>
      <c r="L28" s="175">
        <f t="shared" si="10"/>
        <v>1542039.6815000002</v>
      </c>
    </row>
    <row r="29" spans="2:16" x14ac:dyDescent="0.25">
      <c r="B29" s="343" t="str">
        <f>+'COSTO MO FC'!B11</f>
        <v>SUPERVISOR</v>
      </c>
      <c r="C29" s="215">
        <v>200</v>
      </c>
      <c r="D29" s="212">
        <f t="shared" si="5"/>
        <v>0</v>
      </c>
      <c r="E29" s="212">
        <f t="shared" si="6"/>
        <v>0</v>
      </c>
      <c r="F29" s="213">
        <f>+'COSTO MO FC'!AJ11</f>
        <v>15657.43279055556</v>
      </c>
      <c r="G29" s="123">
        <f t="shared" si="7"/>
        <v>23486.149185833339</v>
      </c>
      <c r="H29" s="123">
        <f t="shared" si="8"/>
        <v>31314.86558111112</v>
      </c>
      <c r="I29" s="175">
        <f t="shared" si="9"/>
        <v>3131486.5581111121</v>
      </c>
      <c r="J29" s="175">
        <f t="shared" si="9"/>
        <v>0</v>
      </c>
      <c r="K29" s="175">
        <f t="shared" si="9"/>
        <v>0</v>
      </c>
      <c r="L29" s="175">
        <f t="shared" si="10"/>
        <v>3131486.5581111121</v>
      </c>
    </row>
    <row r="30" spans="2:16" x14ac:dyDescent="0.25">
      <c r="B30" s="343" t="str">
        <f>+'COSTO MO FC'!B12</f>
        <v>ADMINISTRATIVO</v>
      </c>
      <c r="C30" s="215">
        <v>6</v>
      </c>
      <c r="D30" s="212">
        <f t="shared" si="5"/>
        <v>0</v>
      </c>
      <c r="E30" s="212">
        <f t="shared" si="6"/>
        <v>0</v>
      </c>
      <c r="F30" s="213">
        <f>+'COSTO MO FC'!AJ12</f>
        <v>8901.9074872222227</v>
      </c>
      <c r="G30" s="123">
        <f t="shared" si="7"/>
        <v>13352.861230833334</v>
      </c>
      <c r="H30" s="123">
        <f t="shared" si="8"/>
        <v>17803.814974444445</v>
      </c>
      <c r="I30" s="175">
        <f t="shared" si="9"/>
        <v>53411.444923333336</v>
      </c>
      <c r="J30" s="175">
        <f t="shared" si="9"/>
        <v>0</v>
      </c>
      <c r="K30" s="175">
        <f t="shared" si="9"/>
        <v>0</v>
      </c>
      <c r="L30" s="175">
        <f t="shared" si="10"/>
        <v>53411.444923333336</v>
      </c>
      <c r="N30" s="28">
        <f>L30/L36</f>
        <v>1.1001233266289346E-2</v>
      </c>
    </row>
    <row r="31" spans="2:16" x14ac:dyDescent="0.25">
      <c r="B31" s="343" t="str">
        <f>+'COSTO MO FC'!B13</f>
        <v>PAÑOLERO</v>
      </c>
      <c r="C31" s="215">
        <v>0</v>
      </c>
      <c r="D31" s="212">
        <f t="shared" si="5"/>
        <v>0</v>
      </c>
      <c r="E31" s="212">
        <f t="shared" si="6"/>
        <v>0</v>
      </c>
      <c r="F31" s="213">
        <f>+'COSTO MO FC'!AJ13</f>
        <v>8901.9074872222227</v>
      </c>
      <c r="G31" s="123">
        <f t="shared" si="7"/>
        <v>13352.861230833334</v>
      </c>
      <c r="H31" s="123">
        <f t="shared" si="8"/>
        <v>17803.814974444445</v>
      </c>
      <c r="I31" s="175">
        <f t="shared" si="9"/>
        <v>0</v>
      </c>
      <c r="J31" s="175">
        <f t="shared" si="9"/>
        <v>0</v>
      </c>
      <c r="K31" s="175">
        <f t="shared" si="9"/>
        <v>0</v>
      </c>
      <c r="L31" s="175">
        <f t="shared" si="10"/>
        <v>0</v>
      </c>
    </row>
    <row r="32" spans="2:16" x14ac:dyDescent="0.25">
      <c r="B32" s="343" t="str">
        <f>+'COSTO MO FC'!B14</f>
        <v>CHOFER</v>
      </c>
      <c r="C32" s="215">
        <v>0</v>
      </c>
      <c r="D32" s="212">
        <f t="shared" si="5"/>
        <v>0</v>
      </c>
      <c r="E32" s="212">
        <f t="shared" si="6"/>
        <v>0</v>
      </c>
      <c r="F32" s="213">
        <f>+'COSTO MO FC'!AJ14</f>
        <v>8901.9074872222227</v>
      </c>
      <c r="G32" s="123">
        <f t="shared" si="7"/>
        <v>13352.861230833334</v>
      </c>
      <c r="H32" s="123">
        <f t="shared" si="8"/>
        <v>17803.814974444445</v>
      </c>
      <c r="I32" s="175">
        <f t="shared" si="9"/>
        <v>0</v>
      </c>
      <c r="J32" s="175">
        <f>+D32*G32</f>
        <v>0</v>
      </c>
      <c r="K32" s="175">
        <f>+E32*H32</f>
        <v>0</v>
      </c>
      <c r="L32" s="175">
        <f t="shared" si="10"/>
        <v>0</v>
      </c>
    </row>
    <row r="33" spans="2:14" x14ac:dyDescent="0.25">
      <c r="B33" s="343" t="str">
        <f>+'COSTO MO FC'!B15</f>
        <v>LIMPIEZA</v>
      </c>
      <c r="C33" s="215">
        <v>0</v>
      </c>
      <c r="D33" s="212">
        <f t="shared" si="5"/>
        <v>0</v>
      </c>
      <c r="E33" s="212">
        <f t="shared" si="6"/>
        <v>0</v>
      </c>
      <c r="F33" s="213">
        <f>+'COSTO MO FC'!AJ15</f>
        <v>8901.9074872222227</v>
      </c>
      <c r="G33" s="123">
        <f t="shared" si="7"/>
        <v>13352.861230833334</v>
      </c>
      <c r="H33" s="123">
        <f t="shared" si="8"/>
        <v>17803.814974444445</v>
      </c>
      <c r="I33" s="175">
        <f t="shared" si="9"/>
        <v>0</v>
      </c>
      <c r="J33" s="175"/>
      <c r="K33" s="175"/>
      <c r="L33" s="175">
        <f t="shared" si="10"/>
        <v>0</v>
      </c>
    </row>
    <row r="34" spans="2:14" x14ac:dyDescent="0.25">
      <c r="B34" s="343"/>
      <c r="C34" s="215"/>
      <c r="D34" s="212"/>
      <c r="E34" s="212"/>
      <c r="F34" s="213"/>
      <c r="G34" s="123">
        <f t="shared" si="7"/>
        <v>0</v>
      </c>
      <c r="H34" s="123">
        <f t="shared" si="8"/>
        <v>0</v>
      </c>
      <c r="I34" s="175">
        <f t="shared" si="9"/>
        <v>0</v>
      </c>
      <c r="J34" s="175"/>
      <c r="K34" s="175"/>
      <c r="L34" s="175">
        <f t="shared" si="10"/>
        <v>0</v>
      </c>
    </row>
    <row r="35" spans="2:14" ht="13.8" thickBot="1" x14ac:dyDescent="0.3">
      <c r="B35" s="343"/>
      <c r="C35" s="215"/>
      <c r="D35" s="212"/>
      <c r="E35" s="212"/>
      <c r="F35" s="213"/>
      <c r="G35" s="123">
        <f t="shared" si="7"/>
        <v>0</v>
      </c>
      <c r="H35" s="123">
        <f t="shared" si="8"/>
        <v>0</v>
      </c>
      <c r="I35" s="175">
        <f t="shared" si="9"/>
        <v>0</v>
      </c>
      <c r="J35" s="175">
        <f t="shared" si="9"/>
        <v>0</v>
      </c>
      <c r="K35" s="175">
        <f t="shared" si="9"/>
        <v>0</v>
      </c>
      <c r="L35" s="175">
        <f t="shared" si="10"/>
        <v>0</v>
      </c>
    </row>
    <row r="36" spans="2:14" ht="13.8" thickBot="1" x14ac:dyDescent="0.3">
      <c r="B36" s="112" t="s">
        <v>252</v>
      </c>
      <c r="C36" s="114">
        <f>+SUM(C26:C35)</f>
        <v>314</v>
      </c>
      <c r="D36" s="114">
        <f>+SUM(D26:D35)</f>
        <v>0</v>
      </c>
      <c r="E36" s="114">
        <f>+SUM(E26:E35)</f>
        <v>0</v>
      </c>
      <c r="F36" s="102"/>
      <c r="G36" s="102"/>
      <c r="H36" s="102"/>
      <c r="I36" s="101">
        <f>SUM(I26:I35)</f>
        <v>4855041.5785655566</v>
      </c>
      <c r="J36" s="101">
        <f>SUM(J26:J35)</f>
        <v>0</v>
      </c>
      <c r="K36" s="101">
        <f>SUM(K26:K35)</f>
        <v>0</v>
      </c>
      <c r="L36" s="101">
        <f>SUM(L26:L35)</f>
        <v>4855041.5785655566</v>
      </c>
    </row>
    <row r="37" spans="2:14" ht="38.25" customHeight="1" x14ac:dyDescent="0.25">
      <c r="B37" s="85" t="s">
        <v>253</v>
      </c>
      <c r="C37" s="86" t="s">
        <v>246</v>
      </c>
      <c r="D37" s="86" t="s">
        <v>247</v>
      </c>
      <c r="E37" s="86" t="s">
        <v>248</v>
      </c>
      <c r="F37" s="86" t="s">
        <v>237</v>
      </c>
      <c r="G37" s="86" t="s">
        <v>238</v>
      </c>
      <c r="H37" s="86" t="s">
        <v>239</v>
      </c>
      <c r="I37" s="87" t="s">
        <v>240</v>
      </c>
      <c r="J37" s="87" t="s">
        <v>249</v>
      </c>
      <c r="K37" s="87" t="s">
        <v>250</v>
      </c>
      <c r="L37" s="87" t="s">
        <v>251</v>
      </c>
    </row>
    <row r="38" spans="2:14" x14ac:dyDescent="0.25">
      <c r="B38" s="94"/>
      <c r="C38" s="215"/>
      <c r="D38" s="215"/>
      <c r="E38" s="215"/>
      <c r="F38" s="213"/>
      <c r="G38" s="123">
        <f>+F38*$G$8</f>
        <v>0</v>
      </c>
      <c r="H38" s="123">
        <f>+F38*$H$8</f>
        <v>0</v>
      </c>
      <c r="I38" s="175">
        <f t="shared" ref="I38:K41" si="11">+C38*F38</f>
        <v>0</v>
      </c>
      <c r="J38" s="175">
        <f t="shared" si="11"/>
        <v>0</v>
      </c>
      <c r="K38" s="175">
        <f t="shared" si="11"/>
        <v>0</v>
      </c>
      <c r="L38" s="175">
        <f>I38+J38+K38</f>
        <v>0</v>
      </c>
    </row>
    <row r="39" spans="2:14" x14ac:dyDescent="0.25">
      <c r="B39" s="94"/>
      <c r="C39" s="215"/>
      <c r="D39" s="215"/>
      <c r="E39" s="215"/>
      <c r="F39" s="213"/>
      <c r="G39" s="123">
        <f>+F39*$G$8</f>
        <v>0</v>
      </c>
      <c r="H39" s="123">
        <f>+F39*$H$8</f>
        <v>0</v>
      </c>
      <c r="I39" s="175">
        <f t="shared" si="11"/>
        <v>0</v>
      </c>
      <c r="J39" s="175">
        <f t="shared" si="11"/>
        <v>0</v>
      </c>
      <c r="K39" s="175">
        <f t="shared" si="11"/>
        <v>0</v>
      </c>
      <c r="L39" s="175">
        <f>I39+J39+K39</f>
        <v>0</v>
      </c>
    </row>
    <row r="40" spans="2:14" x14ac:dyDescent="0.25">
      <c r="B40" s="94"/>
      <c r="C40" s="215"/>
      <c r="D40" s="215"/>
      <c r="E40" s="215"/>
      <c r="F40" s="213"/>
      <c r="G40" s="123">
        <f>+F40*$G$8</f>
        <v>0</v>
      </c>
      <c r="H40" s="123">
        <f>+F40*$H$8</f>
        <v>0</v>
      </c>
      <c r="I40" s="175">
        <f t="shared" si="11"/>
        <v>0</v>
      </c>
      <c r="J40" s="175">
        <f t="shared" si="11"/>
        <v>0</v>
      </c>
      <c r="K40" s="175">
        <f t="shared" si="11"/>
        <v>0</v>
      </c>
      <c r="L40" s="175">
        <f>I40+J40+K40</f>
        <v>0</v>
      </c>
    </row>
    <row r="41" spans="2:14" ht="13.8" thickBot="1" x14ac:dyDescent="0.3">
      <c r="B41" s="94"/>
      <c r="C41" s="215"/>
      <c r="D41" s="215"/>
      <c r="E41" s="215"/>
      <c r="F41" s="213"/>
      <c r="G41" s="123">
        <f>+F41*$G$8</f>
        <v>0</v>
      </c>
      <c r="H41" s="123">
        <f>+F41*$H$8</f>
        <v>0</v>
      </c>
      <c r="I41" s="175">
        <f t="shared" si="11"/>
        <v>0</v>
      </c>
      <c r="J41" s="175">
        <f t="shared" si="11"/>
        <v>0</v>
      </c>
      <c r="K41" s="175">
        <f t="shared" si="11"/>
        <v>0</v>
      </c>
      <c r="L41" s="175">
        <f>I41+J41+K41</f>
        <v>0</v>
      </c>
    </row>
    <row r="42" spans="2:14" ht="16.2" thickBot="1" x14ac:dyDescent="0.35">
      <c r="B42" s="115" t="s">
        <v>254</v>
      </c>
      <c r="C42" s="114">
        <f>+SUM(C38:C41)</f>
        <v>0</v>
      </c>
      <c r="D42" s="114">
        <f>+SUM(D38:D41)</f>
        <v>0</v>
      </c>
      <c r="E42" s="114">
        <f>+SUM(E38:E41)</f>
        <v>0</v>
      </c>
      <c r="F42" s="102"/>
      <c r="G42" s="102"/>
      <c r="H42" s="102"/>
      <c r="I42" s="103">
        <f>SUM(I38:I41)</f>
        <v>0</v>
      </c>
      <c r="J42" s="103">
        <f>SUM(J38:J41)</f>
        <v>0</v>
      </c>
      <c r="K42" s="103">
        <f>SUM(K38:K41)</f>
        <v>0</v>
      </c>
      <c r="L42" s="103">
        <f>SUM(L38:L41)</f>
        <v>0</v>
      </c>
    </row>
    <row r="43" spans="2:14" ht="15.6" x14ac:dyDescent="0.3">
      <c r="B43" s="89" t="s">
        <v>255</v>
      </c>
      <c r="C43" s="104"/>
      <c r="D43" s="104"/>
      <c r="E43" s="104"/>
      <c r="F43" s="104"/>
      <c r="G43" s="104"/>
      <c r="H43" s="104"/>
      <c r="I43" s="105">
        <f>I36+I24+I42</f>
        <v>27400066.4481031</v>
      </c>
      <c r="J43" s="105">
        <f>J36+J24+J42</f>
        <v>0</v>
      </c>
      <c r="K43" s="105">
        <f>K36+K24+K42</f>
        <v>0</v>
      </c>
      <c r="L43" s="105">
        <f>L36+L24+L42</f>
        <v>27400066.4481031</v>
      </c>
      <c r="N43" s="29"/>
    </row>
    <row r="44" spans="2:14" ht="15.6" x14ac:dyDescent="0.3">
      <c r="B44" s="618" t="s">
        <v>256</v>
      </c>
      <c r="C44" s="619"/>
      <c r="D44" s="619"/>
      <c r="E44" s="619"/>
      <c r="F44" s="619"/>
      <c r="G44" s="619"/>
      <c r="H44" s="619"/>
      <c r="I44" s="619"/>
      <c r="J44" s="619"/>
      <c r="K44" s="620"/>
      <c r="L44" s="313">
        <f>+C24+C36+C42</f>
        <v>1623</v>
      </c>
      <c r="M44" s="167"/>
      <c r="N44" s="29"/>
    </row>
    <row r="45" spans="2:14" ht="15.6" x14ac:dyDescent="0.3">
      <c r="B45" s="618" t="s">
        <v>257</v>
      </c>
      <c r="C45" s="619"/>
      <c r="D45" s="619"/>
      <c r="E45" s="619"/>
      <c r="F45" s="619"/>
      <c r="G45" s="619"/>
      <c r="H45" s="619"/>
      <c r="I45" s="619"/>
      <c r="J45" s="619"/>
      <c r="K45" s="620"/>
      <c r="L45" s="459">
        <f>+L44/187</f>
        <v>8.6791443850267385</v>
      </c>
      <c r="M45" s="167"/>
      <c r="N45" s="29"/>
    </row>
    <row r="46" spans="2:14" ht="11.25" customHeight="1" x14ac:dyDescent="0.3">
      <c r="B46" s="90"/>
      <c r="C46" s="90"/>
      <c r="D46" s="90"/>
      <c r="E46" s="90"/>
      <c r="F46" s="90"/>
      <c r="G46" s="90"/>
      <c r="H46" s="90"/>
      <c r="I46" s="91"/>
      <c r="J46" s="91"/>
      <c r="K46" s="91"/>
      <c r="L46" s="91"/>
      <c r="N46" s="29"/>
    </row>
    <row r="47" spans="2:14" ht="15.6" x14ac:dyDescent="0.3">
      <c r="B47" s="617" t="s">
        <v>258</v>
      </c>
      <c r="C47" s="617"/>
      <c r="D47" s="617"/>
      <c r="E47" s="617"/>
      <c r="F47" s="111"/>
      <c r="G47" s="111"/>
      <c r="H47" s="111"/>
      <c r="I47" s="92"/>
      <c r="J47" s="92"/>
      <c r="K47" s="92"/>
      <c r="L47" s="92"/>
    </row>
    <row r="48" spans="2:14" ht="26.4" x14ac:dyDescent="0.25">
      <c r="B48" s="85" t="s">
        <v>259</v>
      </c>
      <c r="C48" s="87" t="s">
        <v>260</v>
      </c>
      <c r="D48" s="86" t="s">
        <v>261</v>
      </c>
      <c r="E48" s="87" t="s">
        <v>262</v>
      </c>
      <c r="F48" s="93"/>
      <c r="G48" s="93"/>
      <c r="H48" s="93"/>
      <c r="I48" s="93"/>
      <c r="J48" s="93"/>
      <c r="K48" s="93"/>
      <c r="L48" s="93"/>
    </row>
    <row r="49" spans="2:14" x14ac:dyDescent="0.25">
      <c r="B49" s="1" t="s">
        <v>263</v>
      </c>
      <c r="C49" s="213"/>
      <c r="D49" s="311"/>
      <c r="E49" s="175">
        <f>C49*D49</f>
        <v>0</v>
      </c>
      <c r="F49" s="348"/>
      <c r="G49" s="96"/>
      <c r="H49" s="96"/>
    </row>
    <row r="50" spans="2:14" x14ac:dyDescent="0.25">
      <c r="B50" s="1" t="s">
        <v>264</v>
      </c>
      <c r="C50" s="213"/>
      <c r="D50" s="311"/>
      <c r="E50" s="175">
        <f>C50*D50</f>
        <v>0</v>
      </c>
      <c r="F50" s="348"/>
      <c r="G50" s="96"/>
      <c r="H50" s="96"/>
    </row>
    <row r="51" spans="2:14" x14ac:dyDescent="0.25">
      <c r="B51" s="1" t="s">
        <v>265</v>
      </c>
      <c r="C51" s="213"/>
      <c r="D51" s="216"/>
      <c r="E51" s="175">
        <f>C51*D51</f>
        <v>0</v>
      </c>
      <c r="F51" s="96"/>
      <c r="G51" s="96"/>
      <c r="H51" s="96"/>
    </row>
    <row r="52" spans="2:14" x14ac:dyDescent="0.25">
      <c r="B52" s="1" t="s">
        <v>266</v>
      </c>
      <c r="C52" s="213"/>
      <c r="D52" s="217"/>
      <c r="E52" s="175">
        <f>C52*D52</f>
        <v>0</v>
      </c>
      <c r="F52" s="96"/>
      <c r="G52" s="96"/>
      <c r="H52" s="96"/>
    </row>
    <row r="53" spans="2:14" ht="15.6" x14ac:dyDescent="0.3">
      <c r="B53" s="621" t="s">
        <v>267</v>
      </c>
      <c r="C53" s="622"/>
      <c r="D53" s="623"/>
      <c r="E53" s="103">
        <f>SUM(E49:E52)</f>
        <v>0</v>
      </c>
      <c r="F53" s="117"/>
      <c r="G53" s="117"/>
      <c r="H53" s="117"/>
      <c r="I53" s="92"/>
      <c r="J53" s="92"/>
      <c r="K53" s="92"/>
      <c r="L53" s="92"/>
    </row>
    <row r="54" spans="2:14" ht="26.4" x14ac:dyDescent="0.25">
      <c r="B54" s="85" t="s">
        <v>268</v>
      </c>
      <c r="C54" s="86" t="s">
        <v>260</v>
      </c>
      <c r="D54" s="86" t="s">
        <v>261</v>
      </c>
      <c r="E54" s="87" t="s">
        <v>262</v>
      </c>
      <c r="F54" s="93"/>
      <c r="G54" s="93"/>
      <c r="H54" s="93"/>
      <c r="I54" s="93"/>
      <c r="J54" s="93"/>
      <c r="K54" s="624"/>
      <c r="L54" s="624"/>
      <c r="M54" s="28"/>
    </row>
    <row r="55" spans="2:14" x14ac:dyDescent="0.25">
      <c r="B55" s="1" t="s">
        <v>269</v>
      </c>
      <c r="C55" s="213"/>
      <c r="D55" s="216"/>
      <c r="E55" s="175">
        <f>C55*D55</f>
        <v>0</v>
      </c>
      <c r="F55" s="96"/>
      <c r="G55" s="96"/>
      <c r="H55" s="96"/>
      <c r="M55" s="28"/>
    </row>
    <row r="56" spans="2:14" ht="15.6" x14ac:dyDescent="0.3">
      <c r="B56" s="1" t="s">
        <v>270</v>
      </c>
      <c r="C56" s="213"/>
      <c r="D56" s="217"/>
      <c r="E56" s="175">
        <f>C56*D56</f>
        <v>0</v>
      </c>
      <c r="F56" s="96"/>
      <c r="G56" s="96"/>
      <c r="H56" s="96"/>
      <c r="K56" s="567"/>
      <c r="L56" s="371"/>
      <c r="M56" s="28"/>
    </row>
    <row r="57" spans="2:14" ht="15.6" x14ac:dyDescent="0.3">
      <c r="B57" s="1" t="s">
        <v>271</v>
      </c>
      <c r="C57" s="213"/>
      <c r="D57" s="217"/>
      <c r="E57" s="175">
        <f>C57*D57</f>
        <v>0</v>
      </c>
      <c r="F57" s="96"/>
      <c r="G57" s="96"/>
      <c r="H57" s="96"/>
      <c r="K57" s="567"/>
      <c r="L57" s="371"/>
      <c r="M57" s="28"/>
    </row>
    <row r="58" spans="2:14" ht="15.6" x14ac:dyDescent="0.3">
      <c r="B58" s="621" t="s">
        <v>272</v>
      </c>
      <c r="C58" s="622"/>
      <c r="D58" s="623"/>
      <c r="E58" s="103">
        <f>SUM(E55:E57)</f>
        <v>0</v>
      </c>
      <c r="F58" s="117"/>
      <c r="G58" s="117"/>
      <c r="H58" s="117"/>
      <c r="I58" s="92"/>
      <c r="J58" s="92"/>
      <c r="K58" s="567"/>
      <c r="L58" s="371"/>
      <c r="M58" s="28"/>
    </row>
    <row r="59" spans="2:14" ht="26.4" x14ac:dyDescent="0.3">
      <c r="B59" s="85" t="s">
        <v>273</v>
      </c>
      <c r="C59" s="86" t="s">
        <v>260</v>
      </c>
      <c r="D59" s="86" t="s">
        <v>261</v>
      </c>
      <c r="E59" s="87" t="s">
        <v>262</v>
      </c>
      <c r="F59" s="93"/>
      <c r="G59" s="93"/>
      <c r="H59" s="93"/>
      <c r="I59" s="93"/>
      <c r="J59" s="93"/>
      <c r="K59" s="567"/>
      <c r="L59" s="371"/>
      <c r="M59" s="28"/>
    </row>
    <row r="60" spans="2:14" ht="15.6" x14ac:dyDescent="0.3">
      <c r="B60" s="1" t="s">
        <v>274</v>
      </c>
      <c r="C60" s="213"/>
      <c r="D60" s="311"/>
      <c r="E60" s="175">
        <f>C60*D60</f>
        <v>0</v>
      </c>
      <c r="F60" s="96"/>
      <c r="G60" s="96"/>
      <c r="H60" s="96"/>
      <c r="I60" s="95"/>
      <c r="J60" s="96"/>
      <c r="K60" s="567"/>
      <c r="L60" s="371"/>
      <c r="M60" s="28"/>
    </row>
    <row r="61" spans="2:14" ht="15.6" x14ac:dyDescent="0.3">
      <c r="B61" s="1" t="s">
        <v>275</v>
      </c>
      <c r="C61" s="213"/>
      <c r="D61" s="311"/>
      <c r="E61" s="175">
        <f>C61*D61</f>
        <v>0</v>
      </c>
      <c r="F61" s="348"/>
      <c r="G61" s="96"/>
      <c r="H61" s="96"/>
      <c r="I61" s="95"/>
      <c r="J61" s="96"/>
      <c r="K61" s="567"/>
      <c r="L61" s="371"/>
      <c r="M61" s="28"/>
    </row>
    <row r="62" spans="2:14" ht="15.6" x14ac:dyDescent="0.3">
      <c r="B62" s="1" t="s">
        <v>276</v>
      </c>
      <c r="C62" s="213"/>
      <c r="D62" s="311"/>
      <c r="E62" s="175">
        <f>C62*D62</f>
        <v>0</v>
      </c>
      <c r="F62" s="96"/>
      <c r="G62" s="96"/>
      <c r="H62" s="96"/>
      <c r="I62" s="95"/>
      <c r="J62" s="92"/>
      <c r="K62" s="567"/>
      <c r="L62" s="371"/>
      <c r="M62" s="28"/>
    </row>
    <row r="63" spans="2:14" ht="15.6" x14ac:dyDescent="0.3">
      <c r="B63" s="621" t="s">
        <v>277</v>
      </c>
      <c r="C63" s="622"/>
      <c r="D63" s="623"/>
      <c r="E63" s="103">
        <f>SUM(E60:E62)</f>
        <v>0</v>
      </c>
      <c r="F63" s="117"/>
      <c r="G63" s="117"/>
      <c r="H63" s="117"/>
      <c r="I63" s="92"/>
      <c r="J63" s="93"/>
      <c r="K63" s="567"/>
      <c r="L63" s="371"/>
      <c r="M63" s="28"/>
    </row>
    <row r="64" spans="2:14" ht="26.4" x14ac:dyDescent="0.25">
      <c r="B64" s="85" t="s">
        <v>278</v>
      </c>
      <c r="C64" s="86" t="s">
        <v>279</v>
      </c>
      <c r="D64" s="86" t="s">
        <v>261</v>
      </c>
      <c r="E64" s="87" t="s">
        <v>262</v>
      </c>
      <c r="F64" s="93"/>
      <c r="G64" s="93"/>
      <c r="H64" s="93"/>
      <c r="I64" s="93"/>
      <c r="J64" s="93"/>
      <c r="K64" s="93"/>
      <c r="L64" s="354"/>
      <c r="M64" s="354"/>
      <c r="N64" s="354"/>
    </row>
    <row r="65" spans="2:12" ht="13.8" x14ac:dyDescent="0.25">
      <c r="B65" s="1" t="s">
        <v>280</v>
      </c>
      <c r="C65" s="213"/>
      <c r="D65" s="217"/>
      <c r="E65" s="175">
        <f>C65*D65</f>
        <v>0</v>
      </c>
      <c r="F65" s="93"/>
      <c r="G65" s="93"/>
      <c r="H65" s="93"/>
      <c r="I65" s="93"/>
      <c r="J65" s="93"/>
      <c r="K65" s="437"/>
      <c r="L65" s="437"/>
    </row>
    <row r="66" spans="2:12" ht="15.6" x14ac:dyDescent="0.3">
      <c r="B66" s="1" t="s">
        <v>281</v>
      </c>
      <c r="C66" s="213"/>
      <c r="D66" s="217"/>
      <c r="E66" s="175">
        <f>C66*D66</f>
        <v>0</v>
      </c>
      <c r="F66" s="93"/>
      <c r="G66" s="93"/>
      <c r="H66" s="93"/>
      <c r="I66" s="93"/>
      <c r="J66" s="92"/>
      <c r="K66" s="92"/>
      <c r="L66" s="438"/>
    </row>
    <row r="67" spans="2:12" ht="15.6" x14ac:dyDescent="0.3">
      <c r="B67" s="465" t="s">
        <v>282</v>
      </c>
      <c r="C67" s="213"/>
      <c r="D67" s="217"/>
      <c r="E67" s="175">
        <f>C67*D67</f>
        <v>0</v>
      </c>
      <c r="F67" s="93"/>
      <c r="G67" s="93"/>
      <c r="H67" s="93"/>
      <c r="I67" s="93"/>
      <c r="J67" s="92"/>
      <c r="K67" s="92"/>
      <c r="L67" s="438"/>
    </row>
    <row r="68" spans="2:12" ht="15.6" x14ac:dyDescent="0.3">
      <c r="B68" s="621" t="s">
        <v>283</v>
      </c>
      <c r="C68" s="622"/>
      <c r="D68" s="623"/>
      <c r="E68" s="103">
        <f>+SUM(E65:E67)</f>
        <v>0</v>
      </c>
      <c r="F68" s="93"/>
      <c r="G68" s="93"/>
      <c r="H68" s="93"/>
      <c r="I68" s="93"/>
      <c r="J68" s="92"/>
      <c r="K68" s="92"/>
      <c r="L68" s="92"/>
    </row>
    <row r="69" spans="2:12" ht="15.6" x14ac:dyDescent="0.3">
      <c r="B69" s="104" t="s">
        <v>284</v>
      </c>
      <c r="C69" s="104"/>
      <c r="D69" s="104"/>
      <c r="E69" s="106">
        <f>+E68+E63+E58+E53</f>
        <v>0</v>
      </c>
      <c r="F69" s="117"/>
      <c r="G69" s="117"/>
      <c r="H69" s="117"/>
      <c r="I69" s="92"/>
      <c r="J69" s="92"/>
      <c r="K69" s="92"/>
      <c r="L69" s="92"/>
    </row>
    <row r="70" spans="2:12" ht="15" customHeight="1" x14ac:dyDescent="0.3">
      <c r="B70" s="180"/>
      <c r="C70" s="90"/>
      <c r="D70" s="90"/>
      <c r="E70" s="90"/>
      <c r="F70" s="90"/>
      <c r="G70" s="90"/>
      <c r="H70" s="90"/>
      <c r="I70" s="90"/>
      <c r="J70" s="90"/>
      <c r="K70" s="90"/>
      <c r="L70" s="90"/>
    </row>
    <row r="71" spans="2:12" x14ac:dyDescent="0.25">
      <c r="I71" s="97"/>
    </row>
    <row r="72" spans="2:12" x14ac:dyDescent="0.25">
      <c r="B72" s="425"/>
      <c r="C72" s="426"/>
      <c r="D72" s="426"/>
      <c r="E72" s="426"/>
      <c r="F72" s="426"/>
      <c r="G72" s="426"/>
    </row>
    <row r="73" spans="2:12" x14ac:dyDescent="0.25">
      <c r="B73" s="427"/>
      <c r="C73" s="428"/>
      <c r="D73" s="428"/>
      <c r="E73" s="426"/>
      <c r="F73" s="426"/>
      <c r="G73" s="428"/>
    </row>
    <row r="74" spans="2:12" x14ac:dyDescent="0.25">
      <c r="B74" s="427"/>
      <c r="C74" s="428"/>
      <c r="D74" s="428"/>
      <c r="E74" s="426"/>
      <c r="F74" s="426"/>
      <c r="G74" s="428"/>
    </row>
    <row r="75" spans="2:12" x14ac:dyDescent="0.25">
      <c r="B75" s="427"/>
      <c r="C75" s="428"/>
      <c r="D75" s="428"/>
      <c r="E75" s="426"/>
      <c r="F75" s="426"/>
      <c r="G75" s="428"/>
    </row>
    <row r="76" spans="2:12" x14ac:dyDescent="0.25">
      <c r="B76" s="427"/>
      <c r="C76" s="428"/>
      <c r="D76" s="428"/>
      <c r="E76" s="426"/>
      <c r="F76" s="426"/>
      <c r="G76" s="428"/>
    </row>
    <row r="77" spans="2:12" x14ac:dyDescent="0.25">
      <c r="B77" s="427"/>
      <c r="C77" s="427"/>
      <c r="D77" s="427"/>
      <c r="E77" s="426"/>
      <c r="F77" s="426"/>
      <c r="G77" s="428"/>
    </row>
    <row r="80" spans="2:12" x14ac:dyDescent="0.25">
      <c r="B80" s="29"/>
    </row>
    <row r="81" spans="3:5" x14ac:dyDescent="0.25">
      <c r="C81" s="422"/>
      <c r="E81" s="28"/>
    </row>
    <row r="82" spans="3:5" x14ac:dyDescent="0.25">
      <c r="C82" s="97"/>
      <c r="D82" s="419"/>
      <c r="E82" s="97"/>
    </row>
    <row r="84" spans="3:5" x14ac:dyDescent="0.25">
      <c r="E84" s="97"/>
    </row>
    <row r="85" spans="3:5" x14ac:dyDescent="0.25">
      <c r="E85" s="412"/>
    </row>
    <row r="86" spans="3:5" x14ac:dyDescent="0.25">
      <c r="E86" s="370"/>
    </row>
  </sheetData>
  <mergeCells count="11">
    <mergeCell ref="B68:D68"/>
    <mergeCell ref="B47:E47"/>
    <mergeCell ref="B53:D53"/>
    <mergeCell ref="K54:L54"/>
    <mergeCell ref="B58:D58"/>
    <mergeCell ref="B63:D63"/>
    <mergeCell ref="C1:I1"/>
    <mergeCell ref="C8:F8"/>
    <mergeCell ref="B10:L10"/>
    <mergeCell ref="B44:K44"/>
    <mergeCell ref="B45:K45"/>
  </mergeCells>
  <printOptions horizontalCentered="1" verticalCentered="1"/>
  <pageMargins left="0.78740157480314965" right="0.19685039370078741" top="0.59055118110236227" bottom="0.39370078740157483" header="0.19685039370078741" footer="0.19685039370078741"/>
  <pageSetup paperSize="9" scale="49" orientation="landscape" horizontalDpi="300" verticalDpi="300" r:id="rId1"/>
  <headerFooter alignWithMargins="0">
    <oddFooter>&amp;L&amp;P - &amp;N&amp;C&amp;D&amp;R&amp;F -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20"/>
  <sheetViews>
    <sheetView view="pageBreakPreview" topLeftCell="A12" zoomScale="74" zoomScaleNormal="50" zoomScaleSheetLayoutView="74" workbookViewId="0">
      <selection activeCell="E27" sqref="E27"/>
    </sheetView>
  </sheetViews>
  <sheetFormatPr baseColWidth="10" defaultColWidth="16.33203125" defaultRowHeight="15" x14ac:dyDescent="0.25"/>
  <cols>
    <col min="1" max="1" width="95.5546875" style="257" customWidth="1"/>
    <col min="2" max="2" width="24.44140625" style="257" bestFit="1" customWidth="1"/>
    <col min="3" max="3" width="11.88671875" style="257" bestFit="1" customWidth="1"/>
    <col min="4" max="4" width="16.33203125" style="257"/>
    <col min="5" max="5" width="22.109375" style="257" bestFit="1" customWidth="1"/>
    <col min="6" max="6" width="18.6640625" style="257" customWidth="1"/>
    <col min="7" max="7" width="22.109375" style="257" bestFit="1" customWidth="1"/>
    <col min="8" max="10" width="18.6640625" style="257" customWidth="1"/>
    <col min="11" max="11" width="18.109375" style="257" bestFit="1" customWidth="1"/>
    <col min="12" max="12" width="18.6640625" style="257" customWidth="1"/>
    <col min="13" max="13" width="18.109375" style="257" bestFit="1" customWidth="1"/>
    <col min="14" max="14" width="18.6640625" style="257" customWidth="1"/>
    <col min="15" max="15" width="18.109375" style="257" customWidth="1"/>
    <col min="16" max="16" width="16.33203125" style="257"/>
    <col min="17" max="17" width="18.44140625" style="257" bestFit="1" customWidth="1"/>
    <col min="18" max="18" width="16.33203125" style="257"/>
    <col min="19" max="19" width="18.109375" style="257" bestFit="1" customWidth="1"/>
    <col min="20" max="20" width="16.33203125" style="257"/>
    <col min="21" max="21" width="22.44140625" style="257" bestFit="1" customWidth="1"/>
    <col min="22" max="16384" width="16.33203125" style="257"/>
  </cols>
  <sheetData>
    <row r="1" spans="1:20" ht="33" x14ac:dyDescent="0.6">
      <c r="A1" s="288" t="s">
        <v>285</v>
      </c>
      <c r="E1" s="134"/>
      <c r="I1" s="134"/>
      <c r="K1" s="134"/>
      <c r="M1" s="134"/>
      <c r="O1" s="134"/>
      <c r="Q1" s="269"/>
      <c r="R1" s="506"/>
      <c r="S1" s="134"/>
      <c r="T1" s="506"/>
    </row>
    <row r="2" spans="1:20" ht="33" x14ac:dyDescent="0.6">
      <c r="A2" s="288" t="s">
        <v>286</v>
      </c>
      <c r="E2" s="568"/>
      <c r="I2" s="568"/>
      <c r="K2" s="568"/>
      <c r="M2" s="568"/>
      <c r="O2" s="568"/>
      <c r="Q2" s="269"/>
      <c r="R2" s="506"/>
      <c r="S2" s="568"/>
      <c r="T2" s="506"/>
    </row>
    <row r="3" spans="1:20" ht="22.8" x14ac:dyDescent="0.4">
      <c r="A3" s="256"/>
      <c r="E3" s="568"/>
      <c r="I3" s="568"/>
      <c r="K3" s="568"/>
      <c r="M3" s="568"/>
      <c r="O3" s="568"/>
      <c r="S3" s="568"/>
    </row>
    <row r="4" spans="1:20" x14ac:dyDescent="0.25">
      <c r="A4" s="507" t="s">
        <v>287</v>
      </c>
      <c r="E4" s="568"/>
      <c r="I4" s="568"/>
      <c r="K4" s="568"/>
      <c r="M4" s="568"/>
      <c r="O4" s="568"/>
      <c r="S4" s="568"/>
    </row>
    <row r="5" spans="1:20" x14ac:dyDescent="0.25">
      <c r="A5" s="507" t="s">
        <v>288</v>
      </c>
      <c r="E5" s="568"/>
      <c r="G5" s="568"/>
      <c r="I5" s="568"/>
      <c r="K5" s="568"/>
      <c r="M5" s="568"/>
      <c r="O5" s="568"/>
      <c r="S5" s="568"/>
    </row>
    <row r="6" spans="1:20" x14ac:dyDescent="0.25">
      <c r="A6" s="507" t="s">
        <v>289</v>
      </c>
      <c r="E6" s="568"/>
      <c r="G6" s="568"/>
      <c r="I6" s="568"/>
      <c r="K6" s="568"/>
      <c r="M6" s="568"/>
      <c r="O6" s="568"/>
      <c r="S6" s="568"/>
    </row>
    <row r="7" spans="1:20" x14ac:dyDescent="0.25">
      <c r="A7" s="507" t="s">
        <v>290</v>
      </c>
      <c r="E7" s="568"/>
      <c r="G7" s="568"/>
      <c r="I7" s="568"/>
      <c r="K7" s="568"/>
      <c r="M7" s="568"/>
      <c r="O7" s="568"/>
      <c r="S7" s="568"/>
    </row>
    <row r="8" spans="1:20" ht="22.8" x14ac:dyDescent="0.4">
      <c r="A8" s="256"/>
      <c r="E8" s="568"/>
      <c r="G8" s="568"/>
      <c r="I8" s="568"/>
      <c r="K8" s="568"/>
      <c r="M8" s="568"/>
      <c r="O8" s="568"/>
      <c r="S8" s="568"/>
    </row>
    <row r="9" spans="1:20" ht="22.8" x14ac:dyDescent="0.4">
      <c r="A9" s="256"/>
      <c r="D9" s="258" t="s">
        <v>291</v>
      </c>
      <c r="F9" s="495"/>
      <c r="H9" s="495"/>
      <c r="J9" s="495"/>
      <c r="L9" s="495"/>
    </row>
    <row r="10" spans="1:20" s="260" customFormat="1" ht="19.2" x14ac:dyDescent="0.6">
      <c r="A10" s="753" t="s">
        <v>292</v>
      </c>
      <c r="B10" s="753"/>
      <c r="C10" s="753"/>
      <c r="D10" s="259">
        <v>46174</v>
      </c>
      <c r="E10" s="754">
        <f>G10*1.1</f>
        <v>6273.3</v>
      </c>
      <c r="F10" s="754"/>
      <c r="G10" s="754">
        <v>5703</v>
      </c>
      <c r="H10" s="754"/>
      <c r="I10" s="754"/>
      <c r="J10" s="754"/>
      <c r="K10" s="754"/>
      <c r="L10" s="754"/>
      <c r="M10" s="754"/>
      <c r="N10" s="754"/>
      <c r="O10" s="754"/>
      <c r="P10" s="754"/>
      <c r="Q10" s="754"/>
      <c r="R10" s="754"/>
      <c r="S10" s="754"/>
      <c r="T10" s="754"/>
    </row>
    <row r="11" spans="1:20" ht="18" thickBot="1" x14ac:dyDescent="0.35">
      <c r="A11" s="261"/>
    </row>
    <row r="12" spans="1:20" s="286" customFormat="1" ht="30" customHeight="1" thickBot="1" x14ac:dyDescent="0.3">
      <c r="B12" s="612">
        <f>SUM(E16:E22)</f>
        <v>1407728.52</v>
      </c>
      <c r="E12" s="755" t="s">
        <v>293</v>
      </c>
      <c r="F12" s="756"/>
      <c r="G12" s="756"/>
      <c r="H12" s="756"/>
      <c r="I12" s="756"/>
      <c r="J12" s="756"/>
      <c r="K12" s="756"/>
      <c r="L12" s="756"/>
      <c r="M12" s="756"/>
      <c r="N12" s="756"/>
      <c r="O12" s="756"/>
      <c r="P12" s="756"/>
      <c r="Q12" s="756"/>
      <c r="R12" s="756"/>
      <c r="S12" s="756"/>
      <c r="T12" s="756"/>
    </row>
    <row r="13" spans="1:20" ht="15.6" x14ac:dyDescent="0.3">
      <c r="A13" s="262" t="s">
        <v>294</v>
      </c>
      <c r="B13" s="257">
        <f>B12*0.805</f>
        <v>1133221.4586</v>
      </c>
      <c r="E13" s="759" t="s">
        <v>842</v>
      </c>
      <c r="F13" s="758"/>
      <c r="G13" s="757" t="s">
        <v>843</v>
      </c>
      <c r="H13" s="758"/>
      <c r="I13" s="757" t="s">
        <v>844</v>
      </c>
      <c r="J13" s="758"/>
      <c r="K13" s="757" t="s">
        <v>845</v>
      </c>
      <c r="L13" s="758"/>
      <c r="M13" s="757">
        <f>'1 MANO DE OBRA'!$B15</f>
        <v>0</v>
      </c>
      <c r="N13" s="758"/>
      <c r="O13" s="757">
        <f>'1 MANO DE OBRA'!$B14</f>
        <v>0</v>
      </c>
      <c r="P13" s="758"/>
      <c r="Q13" s="759"/>
      <c r="R13" s="758"/>
      <c r="S13" s="759"/>
      <c r="T13" s="758"/>
    </row>
    <row r="14" spans="1:20" ht="16.2" thickBot="1" x14ac:dyDescent="0.35">
      <c r="B14" s="257">
        <f>B13*1.7</f>
        <v>1926476.4796199999</v>
      </c>
      <c r="E14" s="284" t="s">
        <v>295</v>
      </c>
      <c r="F14" s="285" t="s">
        <v>296</v>
      </c>
      <c r="G14" s="284" t="s">
        <v>295</v>
      </c>
      <c r="H14" s="285" t="s">
        <v>296</v>
      </c>
      <c r="I14" s="284" t="s">
        <v>295</v>
      </c>
      <c r="J14" s="285" t="s">
        <v>296</v>
      </c>
      <c r="K14" s="284" t="s">
        <v>295</v>
      </c>
      <c r="L14" s="285" t="s">
        <v>296</v>
      </c>
      <c r="M14" s="284" t="s">
        <v>295</v>
      </c>
      <c r="N14" s="285" t="s">
        <v>296</v>
      </c>
      <c r="O14" s="284" t="s">
        <v>295</v>
      </c>
      <c r="P14" s="285" t="s">
        <v>296</v>
      </c>
      <c r="Q14" s="284" t="s">
        <v>295</v>
      </c>
      <c r="R14" s="285" t="s">
        <v>296</v>
      </c>
      <c r="S14" s="284" t="s">
        <v>295</v>
      </c>
      <c r="T14" s="285" t="s">
        <v>296</v>
      </c>
    </row>
    <row r="15" spans="1:20" x14ac:dyDescent="0.25">
      <c r="A15" s="760" t="s">
        <v>297</v>
      </c>
      <c r="B15" s="760"/>
      <c r="C15" s="760"/>
      <c r="D15" s="319" t="s">
        <v>298</v>
      </c>
      <c r="E15" s="295" t="s">
        <v>299</v>
      </c>
      <c r="F15" s="569"/>
      <c r="G15" s="295" t="s">
        <v>299</v>
      </c>
      <c r="H15" s="569"/>
      <c r="I15" s="295" t="s">
        <v>299</v>
      </c>
      <c r="J15" s="569"/>
      <c r="K15" s="295" t="s">
        <v>299</v>
      </c>
      <c r="L15" s="569"/>
      <c r="M15" s="295" t="s">
        <v>299</v>
      </c>
      <c r="N15" s="569"/>
      <c r="O15" s="295" t="s">
        <v>299</v>
      </c>
      <c r="P15" s="569"/>
      <c r="Q15" s="295" t="s">
        <v>299</v>
      </c>
      <c r="R15" s="569"/>
      <c r="S15" s="295" t="s">
        <v>299</v>
      </c>
      <c r="T15" s="569"/>
    </row>
    <row r="16" spans="1:20" ht="15.6" x14ac:dyDescent="0.3">
      <c r="A16" s="267" t="s">
        <v>300</v>
      </c>
      <c r="D16" s="265"/>
      <c r="E16" s="274">
        <f>E10*187</f>
        <v>1173107.1000000001</v>
      </c>
      <c r="F16" s="263"/>
      <c r="G16" s="274">
        <f>G10*187</f>
        <v>1066461</v>
      </c>
      <c r="H16" s="263"/>
      <c r="I16" s="274">
        <f>I10*187</f>
        <v>0</v>
      </c>
      <c r="J16" s="263"/>
      <c r="K16" s="274">
        <f>+K10*$C$87</f>
        <v>0</v>
      </c>
      <c r="L16" s="263"/>
      <c r="M16" s="274">
        <f>+M10*$C$87</f>
        <v>0</v>
      </c>
      <c r="N16" s="263"/>
      <c r="O16" s="274">
        <f>+O10*$C$87</f>
        <v>0</v>
      </c>
      <c r="P16" s="442"/>
      <c r="Q16" s="274">
        <f>+Q10*$C$87</f>
        <v>0</v>
      </c>
      <c r="R16" s="263"/>
      <c r="S16" s="274">
        <f>+S10*$C$87</f>
        <v>0</v>
      </c>
      <c r="T16" s="442">
        <f>+S16+S20+S21+S22+S25+S29</f>
        <v>0</v>
      </c>
    </row>
    <row r="17" spans="1:20" ht="15.6" x14ac:dyDescent="0.3">
      <c r="A17" s="267" t="s">
        <v>301</v>
      </c>
      <c r="C17" s="447"/>
      <c r="D17" s="440"/>
      <c r="E17" s="274"/>
      <c r="F17" s="263"/>
      <c r="G17" s="274"/>
      <c r="H17" s="263"/>
      <c r="I17" s="274"/>
      <c r="J17" s="263"/>
      <c r="K17" s="274"/>
      <c r="L17" s="263"/>
      <c r="M17" s="274"/>
      <c r="N17" s="263"/>
      <c r="O17" s="274"/>
      <c r="P17" s="263"/>
      <c r="Q17" s="274"/>
      <c r="R17" s="263"/>
      <c r="S17" s="274"/>
      <c r="T17" s="263"/>
    </row>
    <row r="18" spans="1:20" x14ac:dyDescent="0.25">
      <c r="A18" s="260" t="s">
        <v>302</v>
      </c>
      <c r="D18" s="265"/>
      <c r="E18" s="274"/>
      <c r="F18" s="263"/>
      <c r="G18" s="274"/>
      <c r="H18" s="263"/>
      <c r="I18" s="274"/>
      <c r="J18" s="263"/>
      <c r="K18" s="274"/>
      <c r="L18" s="263"/>
      <c r="M18" s="274">
        <f>$D$18*M16</f>
        <v>0</v>
      </c>
      <c r="N18" s="263"/>
      <c r="O18" s="274">
        <f>$D$18*O16</f>
        <v>0</v>
      </c>
      <c r="P18" s="263"/>
      <c r="Q18" s="274"/>
      <c r="R18" s="263"/>
      <c r="S18" s="274"/>
      <c r="T18" s="263"/>
    </row>
    <row r="19" spans="1:20" x14ac:dyDescent="0.25">
      <c r="A19" s="260" t="s">
        <v>303</v>
      </c>
      <c r="B19" s="320"/>
      <c r="C19" s="320"/>
      <c r="D19" s="476">
        <v>0</v>
      </c>
      <c r="E19" s="274"/>
      <c r="F19" s="263"/>
      <c r="G19" s="274"/>
      <c r="H19" s="263"/>
      <c r="I19" s="274"/>
      <c r="J19" s="263"/>
      <c r="K19" s="274">
        <f>K16*$D$19</f>
        <v>0</v>
      </c>
      <c r="L19" s="263"/>
      <c r="M19" s="274">
        <f>M16*$D$19</f>
        <v>0</v>
      </c>
      <c r="N19" s="263"/>
      <c r="O19" s="274">
        <f>O16*$D$19</f>
        <v>0</v>
      </c>
      <c r="P19" s="263"/>
      <c r="Q19" s="274">
        <f>+(Q16+Q17+Q20+Q21+Q22+Q25)*$D$19*$C$19</f>
        <v>0</v>
      </c>
      <c r="R19" s="263"/>
      <c r="S19" s="274">
        <f>+(S16+S17+S20+S21+S22+S25)*$D$19*$C$19</f>
        <v>0</v>
      </c>
      <c r="T19" s="263"/>
    </row>
    <row r="20" spans="1:20" x14ac:dyDescent="0.25">
      <c r="A20" s="260" t="s">
        <v>304</v>
      </c>
      <c r="B20" s="570"/>
      <c r="D20" s="321">
        <v>0.2</v>
      </c>
      <c r="E20" s="289">
        <f>D20*E16</f>
        <v>234621.42000000004</v>
      </c>
      <c r="F20" s="263"/>
      <c r="G20" s="289">
        <f>D20*G16</f>
        <v>213292.2</v>
      </c>
      <c r="H20" s="263"/>
      <c r="I20" s="289">
        <f>D20*I16</f>
        <v>0</v>
      </c>
      <c r="J20" s="263"/>
      <c r="K20" s="289"/>
      <c r="L20" s="263"/>
      <c r="M20" s="289">
        <f>M16*$D$20</f>
        <v>0</v>
      </c>
      <c r="N20" s="263"/>
      <c r="O20" s="289">
        <f>O16*$D$20</f>
        <v>0</v>
      </c>
      <c r="P20" s="263"/>
      <c r="Q20" s="289">
        <f>+Q16*20%*$D$20</f>
        <v>0</v>
      </c>
      <c r="R20" s="263"/>
      <c r="S20" s="289">
        <f>$D20*S10</f>
        <v>0</v>
      </c>
      <c r="T20" s="263"/>
    </row>
    <row r="21" spans="1:20" x14ac:dyDescent="0.25">
      <c r="A21" s="260" t="s">
        <v>841</v>
      </c>
      <c r="B21" s="570"/>
      <c r="D21" s="321"/>
      <c r="E21" s="289">
        <f>E16*D21</f>
        <v>0</v>
      </c>
      <c r="F21" s="508"/>
      <c r="G21" s="289">
        <f>G16*F21</f>
        <v>0</v>
      </c>
      <c r="H21" s="263"/>
      <c r="I21" s="289">
        <f>I16*H21</f>
        <v>0</v>
      </c>
      <c r="J21" s="263"/>
      <c r="K21" s="289">
        <f>K10*20%*$D21*187</f>
        <v>0</v>
      </c>
      <c r="L21" s="263"/>
      <c r="M21" s="289"/>
      <c r="N21" s="263"/>
      <c r="O21" s="289"/>
      <c r="P21" s="263"/>
      <c r="Q21" s="289"/>
      <c r="R21" s="263"/>
      <c r="S21" s="289">
        <f>+S16*20%*$D$21</f>
        <v>0</v>
      </c>
      <c r="T21" s="263"/>
    </row>
    <row r="22" spans="1:20" x14ac:dyDescent="0.25">
      <c r="A22" s="260" t="s">
        <v>852</v>
      </c>
      <c r="B22" s="571"/>
      <c r="D22" s="321"/>
      <c r="E22" s="289">
        <f>E16*D22</f>
        <v>0</v>
      </c>
      <c r="F22" s="429"/>
      <c r="G22" s="289">
        <f>G16*D22</f>
        <v>0</v>
      </c>
      <c r="H22" s="429"/>
      <c r="I22" s="289">
        <f>I16*D22</f>
        <v>0</v>
      </c>
      <c r="J22" s="429"/>
      <c r="K22" s="289"/>
      <c r="L22" s="429"/>
      <c r="M22" s="289"/>
      <c r="N22" s="429"/>
      <c r="O22" s="289"/>
      <c r="P22" s="429"/>
      <c r="Q22" s="289">
        <f>+Q16*13%*$D$22</f>
        <v>0</v>
      </c>
      <c r="R22" s="263"/>
      <c r="S22" s="289">
        <f>$D22*9</f>
        <v>0</v>
      </c>
      <c r="T22" s="429"/>
    </row>
    <row r="23" spans="1:20" x14ac:dyDescent="0.25">
      <c r="A23" s="260" t="s">
        <v>305</v>
      </c>
      <c r="D23" s="321"/>
      <c r="E23" s="289"/>
      <c r="F23" s="429"/>
      <c r="G23" s="289"/>
      <c r="H23" s="429"/>
      <c r="I23" s="289"/>
      <c r="J23" s="429"/>
      <c r="K23" s="289">
        <f>K$10*13%*$D23*187</f>
        <v>0</v>
      </c>
      <c r="L23" s="429"/>
      <c r="M23" s="289"/>
      <c r="N23" s="429"/>
      <c r="O23" s="289"/>
      <c r="P23" s="429"/>
      <c r="Q23" s="289">
        <f>+Q17*13%*$D$22</f>
        <v>0</v>
      </c>
      <c r="R23" s="263"/>
      <c r="S23" s="289">
        <f>S16*10%*$D$23</f>
        <v>0</v>
      </c>
      <c r="T23" s="263"/>
    </row>
    <row r="24" spans="1:20" x14ac:dyDescent="0.25">
      <c r="A24" s="260" t="s">
        <v>306</v>
      </c>
      <c r="D24" s="321"/>
      <c r="E24" s="289"/>
      <c r="F24" s="429"/>
      <c r="G24" s="289"/>
      <c r="H24" s="429"/>
      <c r="I24" s="289"/>
      <c r="J24" s="429"/>
      <c r="K24" s="289">
        <f>K$10*33%*$D24*187</f>
        <v>0</v>
      </c>
      <c r="L24" s="263"/>
      <c r="M24" s="289"/>
      <c r="N24" s="263"/>
      <c r="O24" s="289"/>
      <c r="P24" s="263"/>
      <c r="Q24" s="289">
        <f>+O24</f>
        <v>0</v>
      </c>
      <c r="R24" s="263"/>
      <c r="S24" s="289">
        <f>+Q24</f>
        <v>0</v>
      </c>
      <c r="T24" s="263"/>
    </row>
    <row r="25" spans="1:20" ht="15.6" x14ac:dyDescent="0.3">
      <c r="A25" s="260" t="s">
        <v>307</v>
      </c>
      <c r="B25" s="571"/>
      <c r="C25" s="436"/>
      <c r="D25" s="430"/>
      <c r="E25" s="289"/>
      <c r="F25" s="429"/>
      <c r="G25" s="289"/>
      <c r="H25" s="429"/>
      <c r="I25" s="289"/>
      <c r="J25" s="429"/>
      <c r="K25" s="289">
        <f>$D25*237*187</f>
        <v>0</v>
      </c>
      <c r="L25" s="429"/>
      <c r="M25" s="289"/>
      <c r="N25" s="429"/>
      <c r="O25" s="289"/>
      <c r="P25" s="429"/>
      <c r="Q25" s="289">
        <f>+Q16*20%*$D$25</f>
        <v>0</v>
      </c>
      <c r="R25" s="263"/>
      <c r="S25" s="289">
        <f>+S16*20%*$D$25</f>
        <v>0</v>
      </c>
      <c r="T25" s="429"/>
    </row>
    <row r="26" spans="1:20" x14ac:dyDescent="0.25">
      <c r="A26" s="260" t="s">
        <v>308</v>
      </c>
      <c r="D26" s="572"/>
      <c r="E26" s="515"/>
      <c r="F26" s="263"/>
      <c r="G26" s="515"/>
      <c r="H26" s="263"/>
      <c r="I26" s="515"/>
      <c r="J26" s="263"/>
      <c r="K26" s="289"/>
      <c r="L26" s="263"/>
      <c r="M26" s="515"/>
      <c r="N26" s="263"/>
      <c r="O26" s="289"/>
      <c r="P26" s="263"/>
      <c r="Q26" s="289">
        <f>SUM(Q16:Q25)*$D$26</f>
        <v>0</v>
      </c>
      <c r="R26" s="263"/>
      <c r="S26" s="289">
        <f>SUM(S16:S25)*$D$26</f>
        <v>0</v>
      </c>
      <c r="T26" s="263"/>
    </row>
    <row r="27" spans="1:20" ht="16.2" thickBot="1" x14ac:dyDescent="0.35">
      <c r="A27" s="466" t="s">
        <v>309</v>
      </c>
      <c r="D27" s="265"/>
      <c r="E27" s="290">
        <f>(70%*SUM(E16:E26)+55000)/1.4</f>
        <v>743149.97428571433</v>
      </c>
      <c r="F27" s="263"/>
      <c r="G27" s="290">
        <f>(70%*SUM(G16:G26)+55000)/1.4</f>
        <v>679162.3142857143</v>
      </c>
      <c r="H27" s="263"/>
      <c r="I27" s="290"/>
      <c r="J27" s="263"/>
      <c r="K27" s="290"/>
      <c r="L27" s="263"/>
      <c r="M27" s="290"/>
      <c r="N27" s="263"/>
      <c r="O27" s="290"/>
      <c r="P27" s="263"/>
      <c r="Q27" s="290"/>
      <c r="R27" s="263"/>
      <c r="S27" s="290"/>
      <c r="T27" s="263"/>
    </row>
    <row r="28" spans="1:20" x14ac:dyDescent="0.25">
      <c r="E28" s="266"/>
      <c r="F28" s="263"/>
      <c r="G28" s="266"/>
      <c r="H28" s="263"/>
      <c r="I28" s="266"/>
      <c r="J28" s="263"/>
      <c r="K28" s="266"/>
      <c r="L28" s="263"/>
      <c r="M28" s="266"/>
      <c r="N28" s="263"/>
      <c r="O28" s="266"/>
      <c r="P28" s="263"/>
      <c r="Q28" s="266"/>
      <c r="R28" s="263"/>
      <c r="S28" s="266"/>
      <c r="T28" s="263"/>
    </row>
    <row r="29" spans="1:20" ht="15.6" x14ac:dyDescent="0.3">
      <c r="A29" s="267" t="s">
        <v>310</v>
      </c>
      <c r="C29" s="447">
        <v>0.12</v>
      </c>
      <c r="E29" s="573"/>
      <c r="F29" s="263"/>
      <c r="G29" s="573"/>
      <c r="H29" s="263"/>
      <c r="I29" s="573"/>
      <c r="J29" s="263"/>
      <c r="K29" s="573"/>
      <c r="L29" s="263"/>
      <c r="M29" s="573"/>
      <c r="N29" s="263"/>
      <c r="O29" s="573"/>
      <c r="P29" s="263"/>
      <c r="Q29" s="573"/>
      <c r="R29" s="263"/>
      <c r="S29" s="573"/>
      <c r="T29" s="263"/>
    </row>
    <row r="30" spans="1:20" ht="15.6" x14ac:dyDescent="0.3">
      <c r="A30" s="267"/>
      <c r="E30" s="573"/>
      <c r="F30" s="263"/>
      <c r="G30" s="573"/>
      <c r="H30" s="263"/>
      <c r="I30" s="573"/>
      <c r="J30" s="263"/>
      <c r="K30" s="573"/>
      <c r="L30" s="263"/>
      <c r="M30" s="573"/>
      <c r="N30" s="263"/>
      <c r="O30" s="573"/>
      <c r="P30" s="263"/>
      <c r="Q30" s="573"/>
      <c r="R30" s="263"/>
      <c r="S30" s="573"/>
      <c r="T30" s="263"/>
    </row>
    <row r="31" spans="1:20" ht="15.6" x14ac:dyDescent="0.3">
      <c r="B31" s="267" t="s">
        <v>311</v>
      </c>
      <c r="E31" s="322">
        <f>SUM(E16:E27)+E29</f>
        <v>2150878.4942857143</v>
      </c>
      <c r="F31" s="268">
        <f>E31/$C$87</f>
        <v>11502.024033613447</v>
      </c>
      <c r="G31" s="322">
        <f>SUM(G16:G27)+G29</f>
        <v>1958915.5142857144</v>
      </c>
      <c r="H31" s="268">
        <f>G31/$C$87</f>
        <v>10475.484033613446</v>
      </c>
      <c r="I31" s="322">
        <f>SUM(I16:I27)+I29</f>
        <v>0</v>
      </c>
      <c r="J31" s="268">
        <f>I31/$C$87</f>
        <v>0</v>
      </c>
      <c r="K31" s="322">
        <f>SUM(K16:K27)+K29</f>
        <v>0</v>
      </c>
      <c r="L31" s="268">
        <f>K31/$C$87</f>
        <v>0</v>
      </c>
      <c r="M31" s="322">
        <f>SUM(M16:M27)+M29</f>
        <v>0</v>
      </c>
      <c r="N31" s="268">
        <f>M31/$C$87</f>
        <v>0</v>
      </c>
      <c r="O31" s="322">
        <f>SUM(O16:O27)+O29</f>
        <v>0</v>
      </c>
      <c r="P31" s="268">
        <f>O31/$C$87</f>
        <v>0</v>
      </c>
      <c r="Q31" s="322">
        <f>SUM(Q16:Q27)+Q29</f>
        <v>0</v>
      </c>
      <c r="R31" s="268">
        <f>Q31/$C$87</f>
        <v>0</v>
      </c>
      <c r="S31" s="322">
        <f>SUM(S16:S27)+S29</f>
        <v>0</v>
      </c>
      <c r="T31" s="268">
        <f>S31/$C$87</f>
        <v>0</v>
      </c>
    </row>
    <row r="32" spans="1:20" x14ac:dyDescent="0.25">
      <c r="D32" s="269"/>
      <c r="E32" s="266"/>
      <c r="F32" s="263"/>
      <c r="G32" s="266"/>
      <c r="H32" s="263"/>
      <c r="I32" s="266"/>
      <c r="J32" s="263">
        <f>30.16</f>
        <v>30.16</v>
      </c>
      <c r="K32" s="266" t="s">
        <v>312</v>
      </c>
      <c r="L32" s="263"/>
      <c r="M32" s="266" t="s">
        <v>312</v>
      </c>
      <c r="N32" s="263"/>
      <c r="O32" s="266" t="s">
        <v>312</v>
      </c>
      <c r="P32" s="263"/>
      <c r="Q32" s="266" t="s">
        <v>312</v>
      </c>
      <c r="R32" s="263"/>
      <c r="S32" s="266" t="s">
        <v>312</v>
      </c>
      <c r="T32" s="263"/>
    </row>
    <row r="33" spans="1:20" x14ac:dyDescent="0.25">
      <c r="D33" s="269"/>
      <c r="E33" s="266"/>
      <c r="F33" s="263"/>
      <c r="G33" s="266"/>
      <c r="H33" s="263"/>
      <c r="I33" s="266"/>
      <c r="J33" s="492"/>
      <c r="K33" s="266"/>
      <c r="L33" s="263"/>
      <c r="M33" s="266"/>
      <c r="N33" s="263"/>
      <c r="O33" s="266"/>
      <c r="P33" s="263"/>
      <c r="Q33" s="266"/>
      <c r="R33" s="263"/>
      <c r="S33" s="266"/>
      <c r="T33" s="263"/>
    </row>
    <row r="34" spans="1:20" ht="15.6" x14ac:dyDescent="0.3">
      <c r="A34" s="262" t="s">
        <v>313</v>
      </c>
      <c r="D34" s="269"/>
      <c r="E34" s="266"/>
      <c r="F34" s="263"/>
      <c r="G34" s="266"/>
      <c r="H34" s="263"/>
      <c r="I34" s="266"/>
      <c r="J34" s="263"/>
      <c r="K34" s="266"/>
      <c r="L34" s="263"/>
      <c r="M34" s="266"/>
      <c r="N34" s="263"/>
      <c r="O34" s="266"/>
      <c r="P34" s="263"/>
      <c r="Q34" s="266"/>
      <c r="R34" s="263"/>
      <c r="S34" s="266"/>
      <c r="T34" s="263"/>
    </row>
    <row r="35" spans="1:20" x14ac:dyDescent="0.25">
      <c r="A35" s="760" t="s">
        <v>297</v>
      </c>
      <c r="B35" s="760"/>
      <c r="C35" s="760"/>
      <c r="D35" s="319" t="s">
        <v>298</v>
      </c>
      <c r="E35" s="295"/>
      <c r="F35" s="569"/>
      <c r="G35" s="295"/>
      <c r="H35" s="569"/>
      <c r="I35" s="295"/>
      <c r="J35" s="569"/>
      <c r="K35" s="295"/>
      <c r="L35" s="569"/>
      <c r="M35" s="295"/>
      <c r="N35" s="569"/>
      <c r="O35" s="295"/>
      <c r="P35" s="569"/>
      <c r="Q35" s="295"/>
      <c r="R35" s="569"/>
      <c r="S35" s="295"/>
      <c r="T35" s="569"/>
    </row>
    <row r="36" spans="1:20" x14ac:dyDescent="0.25">
      <c r="A36" s="574" t="s">
        <v>314</v>
      </c>
      <c r="B36" s="574"/>
      <c r="C36" s="574"/>
      <c r="D36" s="575">
        <v>9.0718847148915469E-2</v>
      </c>
      <c r="E36" s="274">
        <f>+$D$36*E31</f>
        <v>195125.21735899517</v>
      </c>
      <c r="F36" s="263"/>
      <c r="G36" s="274">
        <f>+$D$36*G31</f>
        <v>177710.55711812485</v>
      </c>
      <c r="H36" s="263"/>
      <c r="I36" s="274">
        <f>+$D$36*I31</f>
        <v>0</v>
      </c>
      <c r="J36" s="263"/>
      <c r="K36" s="274">
        <f>+$D$36*K31</f>
        <v>0</v>
      </c>
      <c r="L36" s="263"/>
      <c r="M36" s="274">
        <f>+$D$36*M31</f>
        <v>0</v>
      </c>
      <c r="N36" s="263"/>
      <c r="O36" s="274">
        <f>+$D$36*O31</f>
        <v>0</v>
      </c>
      <c r="P36" s="263"/>
      <c r="Q36" s="274">
        <f>+$D$36*Q31</f>
        <v>0</v>
      </c>
      <c r="R36" s="263"/>
      <c r="S36" s="274">
        <f>+$D$36*S31</f>
        <v>0</v>
      </c>
      <c r="T36" s="263"/>
    </row>
    <row r="37" spans="1:20" x14ac:dyDescent="0.25">
      <c r="A37" s="574" t="s">
        <v>315</v>
      </c>
      <c r="B37" s="574"/>
      <c r="C37" s="574"/>
      <c r="D37" s="270">
        <v>4.4400000000000002E-2</v>
      </c>
      <c r="E37" s="274">
        <f>+$D$37*E31</f>
        <v>95499.005146285723</v>
      </c>
      <c r="F37" s="263"/>
      <c r="G37" s="274">
        <f>+$D$37*G31</f>
        <v>86975.848834285716</v>
      </c>
      <c r="H37" s="263"/>
      <c r="I37" s="274">
        <f>+$D$37*I31</f>
        <v>0</v>
      </c>
      <c r="J37" s="263"/>
      <c r="K37" s="274">
        <f>+$D$37*K31</f>
        <v>0</v>
      </c>
      <c r="L37" s="263"/>
      <c r="M37" s="274">
        <f>+$D$37*M31</f>
        <v>0</v>
      </c>
      <c r="N37" s="263"/>
      <c r="O37" s="274">
        <f>+$D$37*O31</f>
        <v>0</v>
      </c>
      <c r="P37" s="263"/>
      <c r="Q37" s="274">
        <f>+$D$37*Q31</f>
        <v>0</v>
      </c>
      <c r="R37" s="263"/>
      <c r="S37" s="274">
        <f>+$D$37*S31</f>
        <v>0</v>
      </c>
      <c r="T37" s="263"/>
    </row>
    <row r="38" spans="1:20" x14ac:dyDescent="0.25">
      <c r="A38" s="574" t="s">
        <v>316</v>
      </c>
      <c r="B38" s="574"/>
      <c r="C38" s="574"/>
      <c r="D38" s="270">
        <v>8.8999999999999999E-3</v>
      </c>
      <c r="E38" s="274">
        <f>+$D$38*E31</f>
        <v>19142.818599142858</v>
      </c>
      <c r="F38" s="263"/>
      <c r="G38" s="274">
        <f>+$D$38*G31</f>
        <v>17434.348077142859</v>
      </c>
      <c r="H38" s="263"/>
      <c r="I38" s="274">
        <f>+$D$38*I31</f>
        <v>0</v>
      </c>
      <c r="J38" s="263"/>
      <c r="K38" s="274">
        <f>+$D$38*K31</f>
        <v>0</v>
      </c>
      <c r="L38" s="263"/>
      <c r="M38" s="274">
        <f>+$D$38*M31</f>
        <v>0</v>
      </c>
      <c r="N38" s="263"/>
      <c r="O38" s="274">
        <f>+$D$38*O31</f>
        <v>0</v>
      </c>
      <c r="P38" s="263"/>
      <c r="Q38" s="274">
        <f>+$D$38*Q31</f>
        <v>0</v>
      </c>
      <c r="R38" s="263"/>
      <c r="S38" s="274">
        <f>+$D$38*S31</f>
        <v>0</v>
      </c>
      <c r="T38" s="263"/>
    </row>
    <row r="39" spans="1:20" x14ac:dyDescent="0.25">
      <c r="A39" s="574" t="s">
        <v>317</v>
      </c>
      <c r="B39" s="574"/>
      <c r="C39" s="574"/>
      <c r="D39" s="270">
        <v>1.4999999999999999E-2</v>
      </c>
      <c r="E39" s="274">
        <f>+$D$39*E31</f>
        <v>32263.177414285714</v>
      </c>
      <c r="F39" s="263"/>
      <c r="G39" s="274">
        <f>+$D$39*G31</f>
        <v>29383.732714285714</v>
      </c>
      <c r="H39" s="263"/>
      <c r="I39" s="274">
        <f>+$D$39*I31</f>
        <v>0</v>
      </c>
      <c r="J39" s="263"/>
      <c r="K39" s="274">
        <f>+$D$39*K31</f>
        <v>0</v>
      </c>
      <c r="L39" s="263"/>
      <c r="M39" s="274">
        <f>+$D$39*M31</f>
        <v>0</v>
      </c>
      <c r="N39" s="263"/>
      <c r="O39" s="274">
        <f>+$D$39*O31</f>
        <v>0</v>
      </c>
      <c r="P39" s="263"/>
      <c r="Q39" s="274">
        <f>+$D$39*Q31</f>
        <v>0</v>
      </c>
      <c r="R39" s="263"/>
      <c r="S39" s="274">
        <f>+$D$39*S31</f>
        <v>0</v>
      </c>
      <c r="T39" s="263"/>
    </row>
    <row r="40" spans="1:20" x14ac:dyDescent="0.25">
      <c r="A40" s="574" t="s">
        <v>318</v>
      </c>
      <c r="B40" s="574"/>
      <c r="C40" s="574"/>
      <c r="D40" s="270">
        <v>5.5E-2</v>
      </c>
      <c r="E40" s="274">
        <f>+$D$40*E31</f>
        <v>118298.31718571429</v>
      </c>
      <c r="F40" s="263"/>
      <c r="G40" s="274">
        <f>+$D$40*G31</f>
        <v>107740.35328571429</v>
      </c>
      <c r="H40" s="263"/>
      <c r="I40" s="274">
        <f>+$D$40*I31</f>
        <v>0</v>
      </c>
      <c r="J40" s="263"/>
      <c r="K40" s="274">
        <f>+$D$40*K31</f>
        <v>0</v>
      </c>
      <c r="L40" s="263"/>
      <c r="M40" s="274">
        <f>+$D$40*M31</f>
        <v>0</v>
      </c>
      <c r="N40" s="263"/>
      <c r="O40" s="274">
        <f>+$D$40*O31</f>
        <v>0</v>
      </c>
      <c r="P40" s="263"/>
      <c r="Q40" s="274">
        <f>+$D$40*Q31</f>
        <v>0</v>
      </c>
      <c r="R40" s="263"/>
      <c r="S40" s="274">
        <f>+$D$40*S31</f>
        <v>0</v>
      </c>
      <c r="T40" s="263"/>
    </row>
    <row r="41" spans="1:20" x14ac:dyDescent="0.25">
      <c r="A41" s="574" t="s">
        <v>319</v>
      </c>
      <c r="B41" s="432">
        <v>7368</v>
      </c>
      <c r="C41" s="574"/>
      <c r="D41" s="270">
        <v>5.0000000000000001E-3</v>
      </c>
      <c r="E41" s="274">
        <f>+$D$41*E31</f>
        <v>10754.392471428571</v>
      </c>
      <c r="F41" s="263"/>
      <c r="G41" s="274">
        <f>+$D$41*G31</f>
        <v>9794.5775714285719</v>
      </c>
      <c r="H41" s="263"/>
      <c r="I41" s="274">
        <f>+$D$41*I31</f>
        <v>0</v>
      </c>
      <c r="J41" s="263"/>
      <c r="K41" s="274">
        <f>+$D$41*K31</f>
        <v>0</v>
      </c>
      <c r="L41" s="263"/>
      <c r="M41" s="274">
        <f>+$D$41*M31</f>
        <v>0</v>
      </c>
      <c r="N41" s="263"/>
      <c r="O41" s="274">
        <f>+$D$41*O31</f>
        <v>0</v>
      </c>
      <c r="P41" s="263"/>
      <c r="Q41" s="274">
        <f>+$D$41*Q31</f>
        <v>0</v>
      </c>
      <c r="R41" s="263"/>
      <c r="S41" s="274">
        <f>+$D$41*S31</f>
        <v>0</v>
      </c>
      <c r="T41" s="263"/>
    </row>
    <row r="42" spans="1:20" ht="15.6" x14ac:dyDescent="0.3">
      <c r="A42" s="574" t="s">
        <v>840</v>
      </c>
      <c r="B42" s="433"/>
      <c r="D42" s="323">
        <v>0.05</v>
      </c>
      <c r="E42" s="291">
        <f>$D42*E31</f>
        <v>107543.92471428572</v>
      </c>
      <c r="F42" s="576"/>
      <c r="G42" s="291">
        <f>$D42*G31</f>
        <v>97945.77571428573</v>
      </c>
      <c r="H42" s="576"/>
      <c r="I42" s="291">
        <f>$D42*I31</f>
        <v>0</v>
      </c>
      <c r="J42" s="576"/>
      <c r="K42" s="291">
        <f>$D42*K31</f>
        <v>0</v>
      </c>
      <c r="L42" s="576"/>
      <c r="M42" s="291">
        <f>$D42*M31</f>
        <v>0</v>
      </c>
      <c r="N42" s="576"/>
      <c r="O42" s="291">
        <f>$D42*O31</f>
        <v>0</v>
      </c>
      <c r="P42" s="576"/>
      <c r="Q42" s="291">
        <f>$D42*Q31</f>
        <v>0</v>
      </c>
      <c r="R42" s="576"/>
      <c r="S42" s="291">
        <f>$D42*S31</f>
        <v>0</v>
      </c>
      <c r="T42" s="576"/>
    </row>
    <row r="43" spans="1:20" ht="15.6" thickBot="1" x14ac:dyDescent="0.3">
      <c r="A43" s="574" t="s">
        <v>320</v>
      </c>
      <c r="B43" s="574"/>
      <c r="C43" s="574"/>
      <c r="D43" s="270">
        <v>2.5000000000000001E-2</v>
      </c>
      <c r="E43" s="290">
        <f>+E17/(1-$D$43)-E17</f>
        <v>0</v>
      </c>
      <c r="F43" s="263"/>
      <c r="G43" s="290">
        <f>+G17/(1-$D$43)-G17</f>
        <v>0</v>
      </c>
      <c r="H43" s="263"/>
      <c r="I43" s="290">
        <f>+I17/(1-$D$43)-I17</f>
        <v>0</v>
      </c>
      <c r="J43" s="263"/>
      <c r="K43" s="290">
        <f>+K17/(1-$D$43)-K17</f>
        <v>0</v>
      </c>
      <c r="L43" s="263"/>
      <c r="M43" s="290">
        <f>+M17/(1-$D$43)-M17</f>
        <v>0</v>
      </c>
      <c r="N43" s="263"/>
      <c r="O43" s="290">
        <f>+O17/(1-$D$43)-O17</f>
        <v>0</v>
      </c>
      <c r="P43" s="263"/>
      <c r="Q43" s="290">
        <f>+Q17/(1-$D$43)-Q17</f>
        <v>0</v>
      </c>
      <c r="R43" s="263"/>
      <c r="S43" s="290">
        <f>+S17/(1-$D$43)-S17</f>
        <v>0</v>
      </c>
      <c r="T43" s="263"/>
    </row>
    <row r="44" spans="1:20" x14ac:dyDescent="0.25">
      <c r="E44" s="266"/>
      <c r="F44" s="263"/>
      <c r="G44" s="266"/>
      <c r="H44" s="263"/>
      <c r="I44" s="266"/>
      <c r="J44" s="263"/>
      <c r="K44" s="266"/>
      <c r="L44" s="263"/>
      <c r="M44" s="266"/>
      <c r="N44" s="263"/>
      <c r="O44" s="266"/>
      <c r="P44" s="263"/>
      <c r="Q44" s="266"/>
      <c r="R44" s="263"/>
      <c r="S44" s="266"/>
      <c r="T44" s="263"/>
    </row>
    <row r="45" spans="1:20" ht="15.6" x14ac:dyDescent="0.3">
      <c r="B45" s="267" t="s">
        <v>311</v>
      </c>
      <c r="C45" s="577">
        <f>+SUM(E36:E41)/E31</f>
        <v>0.21901884714891542</v>
      </c>
      <c r="D45" s="271">
        <f>+E45/$E$31</f>
        <v>0.26901884714891544</v>
      </c>
      <c r="E45" s="272">
        <f>+SUM(E36:E43)</f>
        <v>578626.85289013793</v>
      </c>
      <c r="F45" s="268">
        <f>E45/$C$87</f>
        <v>3094.2612454018072</v>
      </c>
      <c r="G45" s="272">
        <f>+SUM(G36:G43)</f>
        <v>526985.19331526768</v>
      </c>
      <c r="H45" s="268">
        <f>G45/$C$87</f>
        <v>2818.1026380495596</v>
      </c>
      <c r="I45" s="272">
        <f>SUM(I36:I43)</f>
        <v>0</v>
      </c>
      <c r="J45" s="268">
        <f>I45/$C$87</f>
        <v>0</v>
      </c>
      <c r="K45" s="272">
        <f>SUM(K36:K43)</f>
        <v>0</v>
      </c>
      <c r="L45" s="268">
        <f>K45/$C$87</f>
        <v>0</v>
      </c>
      <c r="M45" s="272">
        <f>SUM(M36:M43)</f>
        <v>0</v>
      </c>
      <c r="N45" s="268">
        <f>M45/$C$87</f>
        <v>0</v>
      </c>
      <c r="O45" s="272">
        <f>+SUM(O36:O43)</f>
        <v>0</v>
      </c>
      <c r="P45" s="268">
        <f>O45/$C$87</f>
        <v>0</v>
      </c>
      <c r="Q45" s="272">
        <f>SUM(Q36:Q43)</f>
        <v>0</v>
      </c>
      <c r="R45" s="268">
        <f>Q45/$C$87</f>
        <v>0</v>
      </c>
      <c r="S45" s="272">
        <f>SUM(S36:S43)</f>
        <v>0</v>
      </c>
      <c r="T45" s="268">
        <f>S45/$C$87</f>
        <v>0</v>
      </c>
    </row>
    <row r="46" spans="1:20" x14ac:dyDescent="0.25">
      <c r="E46" s="266"/>
      <c r="F46" s="263"/>
      <c r="G46" s="266"/>
      <c r="H46" s="263"/>
      <c r="I46" s="266"/>
      <c r="J46" s="263"/>
      <c r="K46" s="266"/>
      <c r="L46" s="263"/>
      <c r="M46" s="266"/>
      <c r="N46" s="263"/>
      <c r="O46" s="266"/>
      <c r="P46" s="263"/>
      <c r="Q46" s="266"/>
      <c r="R46" s="263"/>
      <c r="S46" s="266"/>
      <c r="T46" s="263"/>
    </row>
    <row r="47" spans="1:20" ht="15.6" x14ac:dyDescent="0.3">
      <c r="A47" s="262" t="s">
        <v>321</v>
      </c>
      <c r="D47" s="269"/>
      <c r="E47" s="272"/>
      <c r="F47" s="263"/>
      <c r="G47" s="272"/>
      <c r="H47" s="263"/>
      <c r="I47" s="272"/>
      <c r="J47" s="263"/>
      <c r="K47" s="272"/>
      <c r="L47" s="263"/>
      <c r="M47" s="272"/>
      <c r="N47" s="263"/>
      <c r="O47" s="272"/>
      <c r="P47" s="263"/>
      <c r="Q47" s="272"/>
      <c r="R47" s="263"/>
      <c r="S47" s="272"/>
      <c r="T47" s="263"/>
    </row>
    <row r="48" spans="1:20" x14ac:dyDescent="0.25">
      <c r="A48" s="760" t="s">
        <v>297</v>
      </c>
      <c r="B48" s="760"/>
      <c r="C48" s="760"/>
      <c r="D48" s="319" t="s">
        <v>298</v>
      </c>
      <c r="E48" s="266"/>
      <c r="F48" s="263"/>
      <c r="G48" s="266"/>
      <c r="H48" s="263"/>
      <c r="I48" s="266"/>
      <c r="J48" s="263"/>
      <c r="K48" s="266"/>
      <c r="L48" s="263"/>
      <c r="M48" s="266"/>
      <c r="N48" s="263"/>
      <c r="O48" s="266"/>
      <c r="P48" s="263"/>
      <c r="Q48" s="266"/>
      <c r="R48" s="263"/>
      <c r="S48" s="266"/>
      <c r="T48" s="263"/>
    </row>
    <row r="49" spans="1:20" x14ac:dyDescent="0.25">
      <c r="A49" s="574" t="s">
        <v>322</v>
      </c>
      <c r="D49" s="270">
        <v>8.3299999999999999E-2</v>
      </c>
      <c r="E49" s="274">
        <f>+$D$49*E31</f>
        <v>179168.17857399999</v>
      </c>
      <c r="F49" s="263"/>
      <c r="G49" s="274">
        <f>+$D$49*G31</f>
        <v>163177.66234000001</v>
      </c>
      <c r="H49" s="263"/>
      <c r="I49" s="274">
        <f>+$D$49*I31</f>
        <v>0</v>
      </c>
      <c r="J49" s="263"/>
      <c r="K49" s="274">
        <f>+$D$49*K31</f>
        <v>0</v>
      </c>
      <c r="L49" s="263"/>
      <c r="M49" s="274">
        <f>+$D$49*M31</f>
        <v>0</v>
      </c>
      <c r="N49" s="263"/>
      <c r="O49" s="274">
        <f>+$D$49*O31</f>
        <v>0</v>
      </c>
      <c r="P49" s="263"/>
      <c r="Q49" s="274">
        <f>+$D$49*Q31</f>
        <v>0</v>
      </c>
      <c r="R49" s="263"/>
      <c r="S49" s="274">
        <f>+$D$49*S31</f>
        <v>0</v>
      </c>
      <c r="T49" s="263"/>
    </row>
    <row r="50" spans="1:20" x14ac:dyDescent="0.25">
      <c r="A50" s="574" t="s">
        <v>323</v>
      </c>
      <c r="D50" s="270">
        <f>+C45</f>
        <v>0.21901884714891542</v>
      </c>
      <c r="E50" s="274">
        <f>+$D$50*E49</f>
        <v>39241.207917048487</v>
      </c>
      <c r="F50" s="263"/>
      <c r="G50" s="274">
        <f>+$D$50*G49</f>
        <v>35738.983486161793</v>
      </c>
      <c r="H50" s="263"/>
      <c r="I50" s="274">
        <f>+$D$50*I49</f>
        <v>0</v>
      </c>
      <c r="J50" s="263"/>
      <c r="K50" s="274">
        <f>+$D$50*K49</f>
        <v>0</v>
      </c>
      <c r="L50" s="263"/>
      <c r="M50" s="274">
        <f>+$D$50*M49</f>
        <v>0</v>
      </c>
      <c r="N50" s="263"/>
      <c r="O50" s="274">
        <f>+$D$50*O49</f>
        <v>0</v>
      </c>
      <c r="P50" s="263"/>
      <c r="Q50" s="274">
        <f>+$D$50*Q49</f>
        <v>0</v>
      </c>
      <c r="R50" s="263"/>
      <c r="S50" s="274">
        <f>+$D$50*S49</f>
        <v>0</v>
      </c>
      <c r="T50" s="263"/>
    </row>
    <row r="51" spans="1:20" ht="15.6" x14ac:dyDescent="0.3">
      <c r="A51" s="574" t="s">
        <v>324</v>
      </c>
      <c r="D51" s="324">
        <v>0</v>
      </c>
      <c r="E51" s="289">
        <f>+$D$51</f>
        <v>0</v>
      </c>
      <c r="F51" s="263"/>
      <c r="G51" s="289">
        <f>+$D$51</f>
        <v>0</v>
      </c>
      <c r="H51" s="263"/>
      <c r="I51" s="289">
        <f>+E51</f>
        <v>0</v>
      </c>
      <c r="J51" s="263"/>
      <c r="K51" s="289">
        <f>+E51</f>
        <v>0</v>
      </c>
      <c r="L51" s="263"/>
      <c r="M51" s="289">
        <f>+E51</f>
        <v>0</v>
      </c>
      <c r="N51" s="263"/>
      <c r="O51" s="289">
        <f>+$D$51</f>
        <v>0</v>
      </c>
      <c r="P51" s="263"/>
      <c r="Q51" s="289">
        <f>+O51</f>
        <v>0</v>
      </c>
      <c r="R51" s="263"/>
      <c r="S51" s="289">
        <f>+O51</f>
        <v>0</v>
      </c>
      <c r="T51" s="263"/>
    </row>
    <row r="52" spans="1:20" x14ac:dyDescent="0.25">
      <c r="A52" s="574" t="s">
        <v>325</v>
      </c>
      <c r="B52" s="578"/>
      <c r="D52" s="270">
        <f>4.67%</f>
        <v>4.6699999999999998E-2</v>
      </c>
      <c r="E52" s="274">
        <f>+$D$52*E31</f>
        <v>100446.02568314286</v>
      </c>
      <c r="F52" s="263"/>
      <c r="G52" s="274">
        <f>+$D$52*G31</f>
        <v>91481.354517142856</v>
      </c>
      <c r="H52" s="263"/>
      <c r="I52" s="274">
        <f>+$D$52*I31</f>
        <v>0</v>
      </c>
      <c r="J52" s="263"/>
      <c r="K52" s="274">
        <f>+$D$52*K31</f>
        <v>0</v>
      </c>
      <c r="L52" s="263"/>
      <c r="M52" s="274">
        <f>+$D$52*M31</f>
        <v>0</v>
      </c>
      <c r="N52" s="263"/>
      <c r="O52" s="274">
        <f>+$D$52*O31</f>
        <v>0</v>
      </c>
      <c r="P52" s="263"/>
      <c r="Q52" s="274">
        <f>+$D$52*Q31</f>
        <v>0</v>
      </c>
      <c r="R52" s="263"/>
      <c r="S52" s="274">
        <f>+$D$52*S31</f>
        <v>0</v>
      </c>
      <c r="T52" s="263"/>
    </row>
    <row r="53" spans="1:20" x14ac:dyDescent="0.25">
      <c r="A53" s="574" t="s">
        <v>326</v>
      </c>
      <c r="D53" s="270">
        <f>+D50</f>
        <v>0.21901884714891542</v>
      </c>
      <c r="E53" s="274">
        <f>+$D$53*E52</f>
        <v>21999.572745812296</v>
      </c>
      <c r="F53" s="263"/>
      <c r="G53" s="274">
        <f>+$D$53*G52</f>
        <v>20036.140801965856</v>
      </c>
      <c r="H53" s="263"/>
      <c r="I53" s="274">
        <f>+$D$53*I52</f>
        <v>0</v>
      </c>
      <c r="J53" s="263"/>
      <c r="K53" s="274">
        <f>+$D$53*K52</f>
        <v>0</v>
      </c>
      <c r="L53" s="263"/>
      <c r="M53" s="274">
        <f>+$D$53*M52</f>
        <v>0</v>
      </c>
      <c r="N53" s="263"/>
      <c r="O53" s="274">
        <f>+$D$53*O52</f>
        <v>0</v>
      </c>
      <c r="P53" s="263"/>
      <c r="Q53" s="274">
        <f>+$D$53*Q52</f>
        <v>0</v>
      </c>
      <c r="R53" s="263"/>
      <c r="S53" s="274">
        <f>+$D$53*S52</f>
        <v>0</v>
      </c>
      <c r="T53" s="263"/>
    </row>
    <row r="54" spans="1:20" x14ac:dyDescent="0.25">
      <c r="A54" s="574" t="s">
        <v>327</v>
      </c>
      <c r="D54" s="270">
        <v>0</v>
      </c>
      <c r="E54" s="291">
        <f>+$D$54*E31</f>
        <v>0</v>
      </c>
      <c r="F54" s="263"/>
      <c r="G54" s="291">
        <f>+$D$54*G31</f>
        <v>0</v>
      </c>
      <c r="H54" s="263"/>
      <c r="I54" s="291">
        <f>+$D$54*I31</f>
        <v>0</v>
      </c>
      <c r="J54" s="263"/>
      <c r="K54" s="291">
        <f>+$D$54*K31</f>
        <v>0</v>
      </c>
      <c r="L54" s="263"/>
      <c r="M54" s="291">
        <f>+$D$54*M31</f>
        <v>0</v>
      </c>
      <c r="N54" s="263"/>
      <c r="O54" s="291">
        <f>+$D$54*O31</f>
        <v>0</v>
      </c>
      <c r="P54" s="263"/>
      <c r="Q54" s="291">
        <f>+$D$54*Q31</f>
        <v>0</v>
      </c>
      <c r="R54" s="263"/>
      <c r="S54" s="291">
        <f>+$D$54*S31</f>
        <v>0</v>
      </c>
      <c r="T54" s="263"/>
    </row>
    <row r="55" spans="1:20" x14ac:dyDescent="0.25">
      <c r="A55" s="574" t="s">
        <v>328</v>
      </c>
      <c r="D55" s="270">
        <v>8.3299999999999999E-2</v>
      </c>
      <c r="E55" s="274">
        <f>+$D$55*E31</f>
        <v>179168.17857399999</v>
      </c>
      <c r="F55" s="263"/>
      <c r="G55" s="274">
        <f>+$D$55*G31</f>
        <v>163177.66234000001</v>
      </c>
      <c r="H55" s="263"/>
      <c r="I55" s="274">
        <f>+$D$55*I31</f>
        <v>0</v>
      </c>
      <c r="J55" s="263"/>
      <c r="K55" s="274">
        <f>+$D$55*K31</f>
        <v>0</v>
      </c>
      <c r="L55" s="263"/>
      <c r="M55" s="274">
        <f>+$D$55*M31</f>
        <v>0</v>
      </c>
      <c r="N55" s="263"/>
      <c r="O55" s="274">
        <f>+$D$55*O31</f>
        <v>0</v>
      </c>
      <c r="P55" s="263"/>
      <c r="Q55" s="274">
        <f>+$D$55*Q31</f>
        <v>0</v>
      </c>
      <c r="R55" s="263"/>
      <c r="S55" s="274">
        <f>+$D$55*S31</f>
        <v>0</v>
      </c>
      <c r="T55" s="263"/>
    </row>
    <row r="56" spans="1:20" s="471" customFormat="1" x14ac:dyDescent="0.25">
      <c r="A56" s="475" t="s">
        <v>329</v>
      </c>
      <c r="D56" s="472">
        <v>0.05</v>
      </c>
      <c r="E56" s="473">
        <f>+$D$56*E31</f>
        <v>107543.92471428572</v>
      </c>
      <c r="F56" s="474"/>
      <c r="G56" s="473">
        <f>+$D$56*G31</f>
        <v>97945.77571428573</v>
      </c>
      <c r="H56" s="474"/>
      <c r="I56" s="473">
        <f>+$D$56*I31</f>
        <v>0</v>
      </c>
      <c r="J56" s="474"/>
      <c r="K56" s="473">
        <f>+$D$56*K31</f>
        <v>0</v>
      </c>
      <c r="L56" s="474"/>
      <c r="M56" s="473">
        <f>+$D$56*M31</f>
        <v>0</v>
      </c>
      <c r="N56" s="474"/>
      <c r="O56" s="473">
        <f>+$D$56*O31</f>
        <v>0</v>
      </c>
      <c r="P56" s="474"/>
      <c r="Q56" s="473">
        <f>+$D$56*Q31</f>
        <v>0</v>
      </c>
      <c r="R56" s="474"/>
      <c r="S56" s="473">
        <f>+$D$56*S31</f>
        <v>0</v>
      </c>
      <c r="T56" s="474"/>
    </row>
    <row r="57" spans="1:20" x14ac:dyDescent="0.25">
      <c r="A57" s="574" t="s">
        <v>330</v>
      </c>
      <c r="D57" s="270">
        <v>0</v>
      </c>
      <c r="E57" s="274">
        <f>+$D$57*E31</f>
        <v>0</v>
      </c>
      <c r="F57" s="263"/>
      <c r="G57" s="274">
        <f>+$D$57*G31</f>
        <v>0</v>
      </c>
      <c r="H57" s="263"/>
      <c r="I57" s="274">
        <f>+$D$57*I31</f>
        <v>0</v>
      </c>
      <c r="J57" s="263"/>
      <c r="K57" s="274">
        <f>+$D$57*K31</f>
        <v>0</v>
      </c>
      <c r="L57" s="263"/>
      <c r="M57" s="274">
        <f>+$D$57*M31</f>
        <v>0</v>
      </c>
      <c r="N57" s="263"/>
      <c r="O57" s="274">
        <f>+$D$57*O31</f>
        <v>0</v>
      </c>
      <c r="P57" s="263"/>
      <c r="Q57" s="274">
        <f>+$D$57*Q31</f>
        <v>0</v>
      </c>
      <c r="R57" s="263"/>
      <c r="S57" s="274">
        <f>+$D$57*S31</f>
        <v>0</v>
      </c>
      <c r="T57" s="263"/>
    </row>
    <row r="58" spans="1:20" x14ac:dyDescent="0.25">
      <c r="A58" s="574" t="s">
        <v>331</v>
      </c>
      <c r="D58" s="270">
        <v>0</v>
      </c>
      <c r="E58" s="274">
        <f>+$D$58*E31</f>
        <v>0</v>
      </c>
      <c r="F58" s="263"/>
      <c r="G58" s="274">
        <f>+$D$58*G31</f>
        <v>0</v>
      </c>
      <c r="H58" s="263"/>
      <c r="I58" s="274">
        <f>+$D$58*I31</f>
        <v>0</v>
      </c>
      <c r="J58" s="263"/>
      <c r="K58" s="274">
        <f>+$D$58*K31</f>
        <v>0</v>
      </c>
      <c r="L58" s="263"/>
      <c r="M58" s="274">
        <f>+$D$58*M31</f>
        <v>0</v>
      </c>
      <c r="N58" s="263"/>
      <c r="O58" s="274">
        <f>+$D$58*O31</f>
        <v>0</v>
      </c>
      <c r="P58" s="263"/>
      <c r="Q58" s="274">
        <f>+$D$58*Q31</f>
        <v>0</v>
      </c>
      <c r="R58" s="263"/>
      <c r="S58" s="274">
        <f>+$D$58*S31</f>
        <v>0</v>
      </c>
      <c r="T58" s="263"/>
    </row>
    <row r="59" spans="1:20" ht="15.6" x14ac:dyDescent="0.3">
      <c r="A59" s="574" t="s">
        <v>332</v>
      </c>
      <c r="D59" s="324">
        <v>100000</v>
      </c>
      <c r="E59" s="274">
        <f>+$D$59/12</f>
        <v>8333.3333333333339</v>
      </c>
      <c r="F59" s="263"/>
      <c r="G59" s="274">
        <f>+$D$59/12</f>
        <v>8333.3333333333339</v>
      </c>
      <c r="H59" s="263"/>
      <c r="I59" s="274">
        <f>+$D$59/12</f>
        <v>8333.3333333333339</v>
      </c>
      <c r="J59" s="263"/>
      <c r="K59" s="274">
        <f>+$D$59/12</f>
        <v>8333.3333333333339</v>
      </c>
      <c r="L59" s="263"/>
      <c r="M59" s="274">
        <f>+$D$59/12</f>
        <v>8333.3333333333339</v>
      </c>
      <c r="N59" s="263"/>
      <c r="O59" s="274">
        <f>+$D$59/12</f>
        <v>8333.3333333333339</v>
      </c>
      <c r="P59" s="263"/>
      <c r="Q59" s="274">
        <f>+$D$59/12</f>
        <v>8333.3333333333339</v>
      </c>
      <c r="R59" s="263"/>
      <c r="S59" s="274">
        <f>+$D$59/12</f>
        <v>8333.3333333333339</v>
      </c>
      <c r="T59" s="263"/>
    </row>
    <row r="60" spans="1:20" s="471" customFormat="1" x14ac:dyDescent="0.25">
      <c r="A60" s="475" t="s">
        <v>333</v>
      </c>
      <c r="D60" s="472"/>
      <c r="E60" s="473">
        <f>+$D$60*E31</f>
        <v>0</v>
      </c>
      <c r="F60" s="474"/>
      <c r="G60" s="473">
        <f>+$D$60*G31</f>
        <v>0</v>
      </c>
      <c r="H60" s="474"/>
      <c r="I60" s="473">
        <f>+$D$60*I31</f>
        <v>0</v>
      </c>
      <c r="J60" s="474"/>
      <c r="K60" s="473">
        <f>+$D$60*K31</f>
        <v>0</v>
      </c>
      <c r="L60" s="474"/>
      <c r="M60" s="473">
        <f>+$D$60*M31</f>
        <v>0</v>
      </c>
      <c r="N60" s="474"/>
      <c r="O60" s="473">
        <f>+$D$60*O31</f>
        <v>0</v>
      </c>
      <c r="P60" s="474"/>
      <c r="Q60" s="473">
        <f>+$D$60*Q31</f>
        <v>0</v>
      </c>
      <c r="R60" s="474"/>
      <c r="S60" s="473">
        <f>+$D$60*S31</f>
        <v>0</v>
      </c>
      <c r="T60" s="474"/>
    </row>
    <row r="61" spans="1:20" x14ac:dyDescent="0.25">
      <c r="A61" s="574" t="s">
        <v>334</v>
      </c>
      <c r="D61" s="270"/>
      <c r="E61" s="274">
        <f>+$D$61*E31</f>
        <v>0</v>
      </c>
      <c r="F61" s="263"/>
      <c r="G61" s="274">
        <f>+$D$61*G31</f>
        <v>0</v>
      </c>
      <c r="H61" s="263"/>
      <c r="I61" s="274">
        <f>+$D$61*I31</f>
        <v>0</v>
      </c>
      <c r="J61" s="263"/>
      <c r="K61" s="274">
        <f>+$D$61*K31</f>
        <v>0</v>
      </c>
      <c r="L61" s="263"/>
      <c r="M61" s="274">
        <f>+$D$61*M31</f>
        <v>0</v>
      </c>
      <c r="N61" s="263"/>
      <c r="O61" s="274">
        <f>+$D$61*O31</f>
        <v>0</v>
      </c>
      <c r="P61" s="263"/>
      <c r="Q61" s="274">
        <f>+$D$61*Q31</f>
        <v>0</v>
      </c>
      <c r="R61" s="263"/>
      <c r="S61" s="274">
        <f>+$D$61*S31</f>
        <v>0</v>
      </c>
      <c r="T61" s="263"/>
    </row>
    <row r="62" spans="1:20" s="471" customFormat="1" x14ac:dyDescent="0.25">
      <c r="A62" s="475" t="s">
        <v>335</v>
      </c>
      <c r="B62" s="579"/>
      <c r="D62" s="472">
        <v>0.02</v>
      </c>
      <c r="E62" s="473">
        <f>+$D$62*E31</f>
        <v>43017.569885714285</v>
      </c>
      <c r="F62" s="474"/>
      <c r="G62" s="473">
        <f>+$D$62*G31</f>
        <v>39178.310285714288</v>
      </c>
      <c r="H62" s="474"/>
      <c r="I62" s="473">
        <f>+$D$62*I31</f>
        <v>0</v>
      </c>
      <c r="J62" s="474"/>
      <c r="K62" s="473">
        <f>+$D$62*K31</f>
        <v>0</v>
      </c>
      <c r="L62" s="474"/>
      <c r="M62" s="473">
        <f>+$D$62*M31</f>
        <v>0</v>
      </c>
      <c r="N62" s="474"/>
      <c r="O62" s="473">
        <f>+$D$62*O31</f>
        <v>0</v>
      </c>
      <c r="P62" s="474"/>
      <c r="Q62" s="473">
        <f>+$D$62*Q31</f>
        <v>0</v>
      </c>
      <c r="R62" s="474"/>
      <c r="S62" s="473">
        <f>+$D$62*S31</f>
        <v>0</v>
      </c>
      <c r="T62" s="474"/>
    </row>
    <row r="63" spans="1:20" ht="15.6" x14ac:dyDescent="0.3">
      <c r="A63" s="574" t="s">
        <v>336</v>
      </c>
      <c r="B63" s="580">
        <f>+B62/(E31-E29)</f>
        <v>0</v>
      </c>
      <c r="D63" s="324">
        <f>D59/2</f>
        <v>50000</v>
      </c>
      <c r="E63" s="274">
        <f>+$D$59/12/3</f>
        <v>2777.7777777777778</v>
      </c>
      <c r="F63" s="263"/>
      <c r="G63" s="274">
        <f>+$D$59/12/3</f>
        <v>2777.7777777777778</v>
      </c>
      <c r="H63" s="263"/>
      <c r="I63" s="274">
        <f>+$D$59/12/3</f>
        <v>2777.7777777777778</v>
      </c>
      <c r="J63" s="263"/>
      <c r="K63" s="274">
        <f>+$D$59/12/3</f>
        <v>2777.7777777777778</v>
      </c>
      <c r="L63" s="263"/>
      <c r="M63" s="274">
        <f>+$D$59/12/3</f>
        <v>2777.7777777777778</v>
      </c>
      <c r="N63" s="263"/>
      <c r="O63" s="274">
        <f>+$D$59/12/3</f>
        <v>2777.7777777777778</v>
      </c>
      <c r="P63" s="263"/>
      <c r="Q63" s="274">
        <f>+$D$59/12/3</f>
        <v>2777.7777777777778</v>
      </c>
      <c r="R63" s="263"/>
      <c r="S63" s="274">
        <f>+$D$59/12/3</f>
        <v>2777.7777777777778</v>
      </c>
      <c r="T63" s="263"/>
    </row>
    <row r="64" spans="1:20" ht="15.6" x14ac:dyDescent="0.3">
      <c r="A64" s="574" t="s">
        <v>337</v>
      </c>
      <c r="D64" s="324">
        <v>20000</v>
      </c>
      <c r="E64" s="274">
        <f>+$D$64</f>
        <v>20000</v>
      </c>
      <c r="F64" s="263"/>
      <c r="G64" s="274">
        <f>+$D$64</f>
        <v>20000</v>
      </c>
      <c r="H64" s="263"/>
      <c r="I64" s="274">
        <f>+E64</f>
        <v>20000</v>
      </c>
      <c r="J64" s="263"/>
      <c r="K64" s="274">
        <f>+I64</f>
        <v>20000</v>
      </c>
      <c r="L64" s="263"/>
      <c r="M64" s="274">
        <f>+K64</f>
        <v>20000</v>
      </c>
      <c r="N64" s="263"/>
      <c r="O64" s="274">
        <f>+M64</f>
        <v>20000</v>
      </c>
      <c r="P64" s="263"/>
      <c r="Q64" s="274">
        <f>+O64</f>
        <v>20000</v>
      </c>
      <c r="R64" s="263"/>
      <c r="S64" s="274">
        <f>+Q64</f>
        <v>20000</v>
      </c>
      <c r="T64" s="263"/>
    </row>
    <row r="65" spans="1:20" ht="15.6" thickBot="1" x14ac:dyDescent="0.3">
      <c r="A65" s="574" t="s">
        <v>338</v>
      </c>
      <c r="D65" s="270">
        <v>0</v>
      </c>
      <c r="E65" s="290">
        <f>+$D$65*E31</f>
        <v>0</v>
      </c>
      <c r="F65" s="263"/>
      <c r="G65" s="290">
        <f>+$D$65*G31</f>
        <v>0</v>
      </c>
      <c r="H65" s="263"/>
      <c r="I65" s="290">
        <f>+$D$65*I31</f>
        <v>0</v>
      </c>
      <c r="J65" s="263"/>
      <c r="K65" s="290">
        <f>+$D$65*K31</f>
        <v>0</v>
      </c>
      <c r="L65" s="263"/>
      <c r="M65" s="290">
        <f>+$D$65*M31</f>
        <v>0</v>
      </c>
      <c r="N65" s="263"/>
      <c r="O65" s="290">
        <f>+$D$65*O31</f>
        <v>0</v>
      </c>
      <c r="P65" s="263"/>
      <c r="Q65" s="290">
        <f>+$D$65*Q31</f>
        <v>0</v>
      </c>
      <c r="R65" s="263"/>
      <c r="S65" s="290">
        <f>+$D$65*S31</f>
        <v>0</v>
      </c>
      <c r="T65" s="263"/>
    </row>
    <row r="66" spans="1:20" x14ac:dyDescent="0.25">
      <c r="E66" s="266"/>
      <c r="F66" s="263"/>
      <c r="G66" s="266"/>
      <c r="H66" s="263"/>
      <c r="I66" s="266"/>
      <c r="J66" s="263"/>
      <c r="K66" s="266"/>
      <c r="L66" s="263"/>
      <c r="M66" s="266"/>
      <c r="N66" s="263"/>
      <c r="O66" s="266"/>
      <c r="P66" s="263"/>
      <c r="Q66" s="266"/>
      <c r="R66" s="263"/>
      <c r="S66" s="266"/>
      <c r="T66" s="263"/>
    </row>
    <row r="67" spans="1:20" ht="15.6" x14ac:dyDescent="0.3">
      <c r="B67" s="267" t="s">
        <v>311</v>
      </c>
      <c r="D67" s="271">
        <f>+E67/$E$31</f>
        <v>0.32623682419500927</v>
      </c>
      <c r="E67" s="272">
        <f>SUM(E49:E65)</f>
        <v>701695.7692051148</v>
      </c>
      <c r="F67" s="268">
        <f>E67/$C$87</f>
        <v>3752.3837925407211</v>
      </c>
      <c r="G67" s="272">
        <f>SUM(G49:G65)</f>
        <v>641847.00059638172</v>
      </c>
      <c r="H67" s="268">
        <f>G67/$C$87</f>
        <v>3432.3369015849289</v>
      </c>
      <c r="I67" s="272">
        <f>SUM(I49:I65)</f>
        <v>31111.111111111109</v>
      </c>
      <c r="J67" s="268">
        <f>I67/$C$87</f>
        <v>166.36957813428401</v>
      </c>
      <c r="K67" s="272">
        <f>SUM(K49:K65)</f>
        <v>31111.111111111109</v>
      </c>
      <c r="L67" s="268">
        <f>K67/$C$87</f>
        <v>166.36957813428401</v>
      </c>
      <c r="M67" s="272">
        <f>SUM(M49:M65)</f>
        <v>31111.111111111109</v>
      </c>
      <c r="N67" s="268">
        <f>M67/$C$87</f>
        <v>166.36957813428401</v>
      </c>
      <c r="O67" s="272">
        <f>SUM(O49:O65)</f>
        <v>31111.111111111109</v>
      </c>
      <c r="P67" s="268">
        <f>O67/$C$87</f>
        <v>166.36957813428401</v>
      </c>
      <c r="Q67" s="272">
        <f>SUM(Q49:Q65)</f>
        <v>31111.111111111109</v>
      </c>
      <c r="R67" s="268">
        <f>Q67/$C$87</f>
        <v>166.36957813428401</v>
      </c>
      <c r="S67" s="272">
        <f>SUM(S49:S65)</f>
        <v>31111.111111111109</v>
      </c>
      <c r="T67" s="268">
        <f>S67/$C$87</f>
        <v>166.36957813428401</v>
      </c>
    </row>
    <row r="68" spans="1:20" x14ac:dyDescent="0.25">
      <c r="E68" s="266"/>
      <c r="F68" s="263"/>
      <c r="G68" s="266"/>
      <c r="H68" s="263"/>
      <c r="I68" s="266"/>
      <c r="J68" s="263"/>
      <c r="K68" s="266"/>
      <c r="L68" s="263"/>
      <c r="M68" s="266"/>
      <c r="N68" s="263"/>
      <c r="O68" s="266"/>
      <c r="P68" s="263"/>
      <c r="Q68" s="266"/>
      <c r="R68" s="263"/>
      <c r="S68" s="266"/>
      <c r="T68" s="263"/>
    </row>
    <row r="69" spans="1:20" ht="15.6" x14ac:dyDescent="0.3">
      <c r="A69" s="262" t="s">
        <v>339</v>
      </c>
      <c r="D69" s="269"/>
      <c r="E69" s="266"/>
      <c r="F69" s="263"/>
      <c r="G69" s="266"/>
      <c r="H69" s="263"/>
      <c r="I69" s="266"/>
      <c r="J69" s="263"/>
      <c r="K69" s="266"/>
      <c r="L69" s="263"/>
      <c r="M69" s="266"/>
      <c r="N69" s="263"/>
      <c r="O69" s="266"/>
      <c r="P69" s="263"/>
      <c r="Q69" s="266"/>
      <c r="R69" s="263"/>
      <c r="S69" s="266"/>
      <c r="T69" s="263"/>
    </row>
    <row r="70" spans="1:20" x14ac:dyDescent="0.25">
      <c r="A70" s="760" t="s">
        <v>297</v>
      </c>
      <c r="B70" s="760"/>
      <c r="C70" s="760"/>
      <c r="D70" s="319" t="s">
        <v>298</v>
      </c>
      <c r="E70" s="264"/>
      <c r="F70" s="263"/>
      <c r="G70" s="264"/>
      <c r="H70" s="263"/>
      <c r="I70" s="264"/>
      <c r="J70" s="263"/>
      <c r="K70" s="264"/>
      <c r="L70" s="263"/>
      <c r="M70" s="264"/>
      <c r="N70" s="263"/>
      <c r="O70" s="264"/>
      <c r="P70" s="263"/>
      <c r="Q70" s="264"/>
      <c r="R70" s="263"/>
      <c r="S70" s="264"/>
      <c r="T70" s="263"/>
    </row>
    <row r="71" spans="1:20" x14ac:dyDescent="0.25">
      <c r="E71" s="266"/>
      <c r="F71" s="263"/>
      <c r="G71" s="266"/>
      <c r="H71" s="263"/>
      <c r="I71" s="266"/>
      <c r="J71" s="263"/>
      <c r="K71" s="266"/>
      <c r="L71" s="263"/>
      <c r="M71" s="266"/>
      <c r="N71" s="263"/>
      <c r="O71" s="266"/>
      <c r="P71" s="263"/>
      <c r="Q71" s="266"/>
      <c r="R71" s="263"/>
      <c r="S71" s="266"/>
      <c r="T71" s="263"/>
    </row>
    <row r="72" spans="1:20" ht="15.6" x14ac:dyDescent="0.3">
      <c r="A72" s="574" t="s">
        <v>340</v>
      </c>
      <c r="B72" s="574"/>
      <c r="C72" s="574"/>
      <c r="D72" s="581">
        <v>1000</v>
      </c>
      <c r="E72" s="274">
        <f>+D72</f>
        <v>1000</v>
      </c>
      <c r="F72" s="273"/>
      <c r="G72" s="274">
        <f>+F72</f>
        <v>0</v>
      </c>
      <c r="H72" s="273"/>
      <c r="I72" s="274">
        <f>+D72</f>
        <v>1000</v>
      </c>
      <c r="J72" s="273"/>
      <c r="K72" s="274">
        <f>+I72</f>
        <v>1000</v>
      </c>
      <c r="L72" s="273"/>
      <c r="M72" s="274">
        <f>+K72</f>
        <v>1000</v>
      </c>
      <c r="N72" s="273"/>
      <c r="O72" s="274">
        <f>+N72</f>
        <v>0</v>
      </c>
      <c r="P72" s="273"/>
      <c r="Q72" s="274">
        <f>+N72</f>
        <v>0</v>
      </c>
      <c r="R72" s="273"/>
      <c r="S72" s="274">
        <f>+Q72</f>
        <v>0</v>
      </c>
      <c r="T72" s="273"/>
    </row>
    <row r="73" spans="1:20" x14ac:dyDescent="0.25">
      <c r="A73" s="574" t="s">
        <v>341</v>
      </c>
      <c r="D73" s="582">
        <v>4.2000000000000003E-2</v>
      </c>
      <c r="E73" s="274">
        <f>+(E31+E49+E52)*$D$73</f>
        <v>102080.6933388</v>
      </c>
      <c r="F73" s="263"/>
      <c r="G73" s="274">
        <f>+(G31+G49+G52)*$D$73</f>
        <v>92970.130307999993</v>
      </c>
      <c r="H73" s="263"/>
      <c r="I73" s="274">
        <f>+(I31+I49+I52)*$D$73</f>
        <v>0</v>
      </c>
      <c r="J73" s="263"/>
      <c r="K73" s="274">
        <f>+(K31+K49+K52)*$D$73</f>
        <v>0</v>
      </c>
      <c r="L73" s="263"/>
      <c r="M73" s="274">
        <f>+(M31+M49+M52)*$D$73</f>
        <v>0</v>
      </c>
      <c r="N73" s="263"/>
      <c r="O73" s="274">
        <f>+(O31+O49+O52)*$D$73</f>
        <v>0</v>
      </c>
      <c r="P73" s="263"/>
      <c r="Q73" s="274">
        <f>+(Q31+Q49+Q52)*$D$73</f>
        <v>0</v>
      </c>
      <c r="R73" s="263"/>
      <c r="S73" s="274">
        <f>+(S31+S49+S52)*$D$73</f>
        <v>0</v>
      </c>
      <c r="T73" s="263"/>
    </row>
    <row r="74" spans="1:20" ht="15.6" thickBot="1" x14ac:dyDescent="0.3">
      <c r="A74" s="574" t="s">
        <v>342</v>
      </c>
      <c r="B74" s="574"/>
      <c r="C74" s="574"/>
      <c r="D74" s="581">
        <v>1000</v>
      </c>
      <c r="E74" s="275">
        <f>+D74</f>
        <v>1000</v>
      </c>
      <c r="F74" s="263"/>
      <c r="G74" s="275">
        <f>+F74</f>
        <v>0</v>
      </c>
      <c r="H74" s="263"/>
      <c r="I74" s="275">
        <f>+D74</f>
        <v>1000</v>
      </c>
      <c r="J74" s="263"/>
      <c r="K74" s="275">
        <f>+I74</f>
        <v>1000</v>
      </c>
      <c r="L74" s="263"/>
      <c r="M74" s="275">
        <f>+K74</f>
        <v>1000</v>
      </c>
      <c r="N74" s="263"/>
      <c r="O74" s="275">
        <f>+N74</f>
        <v>0</v>
      </c>
      <c r="P74" s="263"/>
      <c r="Q74" s="275">
        <f>+N74</f>
        <v>0</v>
      </c>
      <c r="R74" s="263"/>
      <c r="S74" s="275">
        <f>+Q74</f>
        <v>0</v>
      </c>
      <c r="T74" s="263"/>
    </row>
    <row r="75" spans="1:20" x14ac:dyDescent="0.25">
      <c r="E75" s="266"/>
      <c r="F75" s="263"/>
      <c r="G75" s="266"/>
      <c r="H75" s="263"/>
      <c r="I75" s="266"/>
      <c r="J75" s="263"/>
      <c r="K75" s="266"/>
      <c r="L75" s="263"/>
      <c r="M75" s="266"/>
      <c r="N75" s="263"/>
      <c r="O75" s="266"/>
      <c r="P75" s="263"/>
      <c r="Q75" s="266"/>
      <c r="R75" s="263"/>
      <c r="S75" s="266"/>
      <c r="T75" s="263"/>
    </row>
    <row r="76" spans="1:20" ht="15.6" x14ac:dyDescent="0.3">
      <c r="B76" s="267" t="s">
        <v>311</v>
      </c>
      <c r="D76" s="271">
        <f>+E76/E31</f>
        <v>4.8389852618506084E-2</v>
      </c>
      <c r="E76" s="276">
        <f>SUM(E72:E74)</f>
        <v>104080.6933388</v>
      </c>
      <c r="F76" s="268">
        <f>E76/$C$87</f>
        <v>556.58124780106948</v>
      </c>
      <c r="G76" s="276">
        <f>SUM(G72:G74)</f>
        <v>92970.130307999993</v>
      </c>
      <c r="H76" s="268">
        <f>G76/$C$87</f>
        <v>497.16647223529407</v>
      </c>
      <c r="I76" s="276">
        <f>SUM(I72:I74)</f>
        <v>2000</v>
      </c>
      <c r="J76" s="268">
        <f>I76/$C$87</f>
        <v>10.695187165775401</v>
      </c>
      <c r="K76" s="276">
        <f>SUM(K72:K74)</f>
        <v>2000</v>
      </c>
      <c r="L76" s="268">
        <f>K76/$C$87</f>
        <v>10.695187165775401</v>
      </c>
      <c r="M76" s="276">
        <f>SUM(M72:M74)</f>
        <v>2000</v>
      </c>
      <c r="N76" s="268">
        <f>M76/$C$87</f>
        <v>10.695187165775401</v>
      </c>
      <c r="O76" s="276">
        <f>SUM(O72:O74)</f>
        <v>0</v>
      </c>
      <c r="P76" s="268">
        <f>O76/$C$87</f>
        <v>0</v>
      </c>
      <c r="Q76" s="276">
        <f>SUM(Q72:Q74)</f>
        <v>0</v>
      </c>
      <c r="R76" s="268">
        <f>Q76/$C$87</f>
        <v>0</v>
      </c>
      <c r="S76" s="276">
        <f>SUM(S72:S74)</f>
        <v>0</v>
      </c>
      <c r="T76" s="268">
        <f>S76/$C$87</f>
        <v>0</v>
      </c>
    </row>
    <row r="77" spans="1:20" x14ac:dyDescent="0.25">
      <c r="E77" s="266"/>
      <c r="F77" s="263"/>
      <c r="G77" s="266"/>
      <c r="H77" s="263"/>
      <c r="I77" s="266"/>
      <c r="J77" s="263"/>
      <c r="K77" s="266"/>
      <c r="L77" s="263"/>
      <c r="M77" s="266"/>
      <c r="N77" s="263"/>
      <c r="O77" s="266"/>
      <c r="P77" s="263"/>
      <c r="Q77" s="266"/>
      <c r="R77" s="263"/>
      <c r="S77" s="266"/>
      <c r="T77" s="263"/>
    </row>
    <row r="78" spans="1:20" ht="15.6" x14ac:dyDescent="0.3">
      <c r="A78" s="262" t="s">
        <v>343</v>
      </c>
      <c r="E78" s="266"/>
      <c r="F78" s="263"/>
      <c r="G78" s="266"/>
      <c r="H78" s="263"/>
      <c r="I78" s="266"/>
      <c r="J78" s="263"/>
      <c r="K78" s="266"/>
      <c r="L78" s="263"/>
      <c r="M78" s="266"/>
      <c r="N78" s="263"/>
      <c r="O78" s="266"/>
      <c r="P78" s="263"/>
      <c r="Q78" s="266"/>
      <c r="R78" s="263"/>
      <c r="S78" s="266"/>
      <c r="T78" s="263"/>
    </row>
    <row r="79" spans="1:20" x14ac:dyDescent="0.25">
      <c r="E79" s="266"/>
      <c r="F79" s="263"/>
      <c r="G79" s="266"/>
      <c r="H79" s="263"/>
      <c r="I79" s="266"/>
      <c r="J79" s="263"/>
      <c r="K79" s="266"/>
      <c r="L79" s="263"/>
      <c r="M79" s="266"/>
      <c r="N79" s="263"/>
      <c r="O79" s="266"/>
      <c r="P79" s="263"/>
      <c r="Q79" s="266"/>
      <c r="R79" s="263"/>
      <c r="S79" s="266"/>
      <c r="T79" s="263"/>
    </row>
    <row r="80" spans="1:20" ht="15.6" x14ac:dyDescent="0.3">
      <c r="A80" s="574" t="s">
        <v>344</v>
      </c>
      <c r="D80" s="324">
        <v>0</v>
      </c>
      <c r="E80" s="266"/>
      <c r="F80" s="277">
        <f>+D80/C87</f>
        <v>0</v>
      </c>
      <c r="G80" s="266"/>
      <c r="H80" s="277">
        <f>+F80/C87</f>
        <v>0</v>
      </c>
      <c r="I80" s="266"/>
      <c r="J80" s="277">
        <f>+F80</f>
        <v>0</v>
      </c>
      <c r="K80" s="266"/>
      <c r="L80" s="277">
        <f>+J80</f>
        <v>0</v>
      </c>
      <c r="M80" s="266"/>
      <c r="N80" s="277">
        <f>+L80</f>
        <v>0</v>
      </c>
      <c r="O80" s="266"/>
      <c r="P80" s="277">
        <f>+N80</f>
        <v>0</v>
      </c>
      <c r="Q80" s="266"/>
      <c r="R80" s="277">
        <f>+P80</f>
        <v>0</v>
      </c>
      <c r="S80" s="266"/>
      <c r="T80" s="277">
        <f>+R80</f>
        <v>0</v>
      </c>
    </row>
    <row r="81" spans="1:20" ht="15.6" x14ac:dyDescent="0.3">
      <c r="A81" s="574" t="s">
        <v>345</v>
      </c>
      <c r="D81" s="324">
        <v>0</v>
      </c>
      <c r="E81" s="266"/>
      <c r="F81" s="277">
        <f>+D81/C87</f>
        <v>0</v>
      </c>
      <c r="G81" s="266"/>
      <c r="H81" s="277">
        <f>+F81/C87</f>
        <v>0</v>
      </c>
      <c r="I81" s="266"/>
      <c r="J81" s="277">
        <f>+F81</f>
        <v>0</v>
      </c>
      <c r="K81" s="266"/>
      <c r="L81" s="277">
        <f>+J81</f>
        <v>0</v>
      </c>
      <c r="M81" s="266"/>
      <c r="N81" s="277">
        <f>+L81</f>
        <v>0</v>
      </c>
      <c r="O81" s="266"/>
      <c r="P81" s="277">
        <f>+N81</f>
        <v>0</v>
      </c>
      <c r="Q81" s="266"/>
      <c r="R81" s="277">
        <f>+P81</f>
        <v>0</v>
      </c>
      <c r="S81" s="266"/>
      <c r="T81" s="277">
        <f>+R81</f>
        <v>0</v>
      </c>
    </row>
    <row r="82" spans="1:20" ht="15.6" thickBot="1" x14ac:dyDescent="0.3">
      <c r="E82" s="266"/>
      <c r="F82" s="263"/>
      <c r="G82" s="266"/>
      <c r="H82" s="263"/>
      <c r="I82" s="266"/>
      <c r="J82" s="263"/>
      <c r="K82" s="266"/>
      <c r="L82" s="263"/>
      <c r="M82" s="266"/>
      <c r="N82" s="263"/>
      <c r="O82" s="266"/>
      <c r="P82" s="263"/>
      <c r="Q82" s="266"/>
      <c r="R82" s="263"/>
      <c r="S82" s="266"/>
      <c r="T82" s="263"/>
    </row>
    <row r="83" spans="1:20" x14ac:dyDescent="0.25">
      <c r="E83" s="266"/>
      <c r="F83" s="296"/>
      <c r="G83" s="266"/>
      <c r="H83" s="296"/>
      <c r="I83" s="266"/>
      <c r="J83" s="296"/>
      <c r="K83" s="266"/>
      <c r="L83" s="296"/>
      <c r="M83" s="266"/>
      <c r="N83" s="296"/>
      <c r="O83" s="266"/>
      <c r="P83" s="296"/>
      <c r="Q83" s="266"/>
      <c r="R83" s="296"/>
      <c r="S83" s="266"/>
      <c r="T83" s="296"/>
    </row>
    <row r="84" spans="1:20" ht="28.2" x14ac:dyDescent="0.85">
      <c r="A84" s="761" t="s">
        <v>346</v>
      </c>
      <c r="B84" s="761"/>
      <c r="C84" s="761"/>
      <c r="D84" s="762"/>
      <c r="E84" s="292"/>
      <c r="F84" s="297">
        <f>+F31+F45+F67+F76+F80+F81</f>
        <v>18905.250319357045</v>
      </c>
      <c r="G84" s="292"/>
      <c r="H84" s="297">
        <f>+H31+H45+H67+H76+H80+H81</f>
        <v>17223.090045483226</v>
      </c>
      <c r="I84" s="279"/>
      <c r="J84" s="297">
        <f>+J31+J45+J67+J76+J80+J81</f>
        <v>177.06476530005941</v>
      </c>
      <c r="K84" s="279"/>
      <c r="L84" s="297">
        <f>+L31+L45+L67+L76+L80+L81</f>
        <v>177.06476530005941</v>
      </c>
      <c r="M84" s="279"/>
      <c r="N84" s="297">
        <f>+N31+N45+N67+N76+N80+N81</f>
        <v>177.06476530005941</v>
      </c>
      <c r="O84" s="292"/>
      <c r="P84" s="297">
        <f>+P31+P45+P67+P76+P80+P81</f>
        <v>166.36957813428401</v>
      </c>
      <c r="Q84" s="279"/>
      <c r="R84" s="297">
        <f>+R31+R45+R67+R76+R80+R81</f>
        <v>166.36957813428401</v>
      </c>
      <c r="S84" s="279"/>
      <c r="T84" s="297">
        <f>+T31+T45+T67+T76+T80+T81</f>
        <v>166.36957813428401</v>
      </c>
    </row>
    <row r="85" spans="1:20" ht="27" thickBot="1" x14ac:dyDescent="0.9">
      <c r="C85" s="278"/>
      <c r="D85" s="278"/>
      <c r="E85" s="293"/>
      <c r="F85" s="297" t="e">
        <f>F84*$C$87/$C$88</f>
        <v>#DIV/0!</v>
      </c>
      <c r="G85" s="293"/>
      <c r="H85" s="297" t="e">
        <f>H84*$C$87/$C$88</f>
        <v>#DIV/0!</v>
      </c>
      <c r="I85" s="293"/>
      <c r="J85" s="297" t="e">
        <f>J84*$C$87/$C$88</f>
        <v>#DIV/0!</v>
      </c>
      <c r="K85" s="293"/>
      <c r="L85" s="297" t="e">
        <f>L84*$C$87/$C$88</f>
        <v>#DIV/0!</v>
      </c>
      <c r="M85" s="293"/>
      <c r="N85" s="297" t="e">
        <f>N84*$C$87/$C$88</f>
        <v>#DIV/0!</v>
      </c>
      <c r="O85" s="293"/>
      <c r="P85" s="297" t="e">
        <f>P84*$C$87/$C$88</f>
        <v>#DIV/0!</v>
      </c>
      <c r="Q85" s="293"/>
      <c r="R85" s="297" t="e">
        <f>R84*$C$87/$C$88</f>
        <v>#DIV/0!</v>
      </c>
      <c r="S85" s="293"/>
      <c r="T85" s="297" t="e">
        <f>T84*$C$87/$C$88</f>
        <v>#DIV/0!</v>
      </c>
    </row>
    <row r="86" spans="1:20" x14ac:dyDescent="0.25">
      <c r="F86" s="469" t="e">
        <f>F84/(1-'Presupuesto de VENTA'!$G$14)+'Presupuesto de VENTA'!#REF!+'Presupuesto de VENTA'!#REF!</f>
        <v>#REF!</v>
      </c>
      <c r="H86" s="469" t="e">
        <f>H84/(1-'Presupuesto de VENTA'!$G$14)+'Presupuesto de VENTA'!#REF!+'Presupuesto de VENTA'!#REF!</f>
        <v>#REF!</v>
      </c>
      <c r="J86" s="469" t="e">
        <f>J84/(1-'Presupuesto de VENTA'!$G$14)+'Presupuesto de VENTA'!#REF!+'Presupuesto de VENTA'!#REF!</f>
        <v>#REF!</v>
      </c>
      <c r="L86" s="469" t="e">
        <f>L84/(1-'Presupuesto de VENTA'!$G$14)+'Presupuesto de VENTA'!#REF!+'Presupuesto de VENTA'!#REF!</f>
        <v>#REF!</v>
      </c>
      <c r="N86" s="469" t="e">
        <f>N84/(1-'Presupuesto de VENTA'!$G$14)+'Presupuesto de VENTA'!#REF!+'Presupuesto de VENTA'!#REF!</f>
        <v>#REF!</v>
      </c>
      <c r="P86" s="469" t="e">
        <f>P84/(1-'Presupuesto de VENTA'!$G$14)+'Presupuesto de VENTA'!#REF!+'Presupuesto de VENTA'!#REF!</f>
        <v>#REF!</v>
      </c>
      <c r="T86" s="469" t="e">
        <f>T84/(1-'Presupuesto de VENTA'!$G$14)+'Presupuesto de VENTA'!#REF!+'Presupuesto de VENTA'!#REF!</f>
        <v>#REF!</v>
      </c>
    </row>
    <row r="87" spans="1:20" s="294" customFormat="1" ht="24.9" customHeight="1" thickBot="1" x14ac:dyDescent="0.35">
      <c r="A87" s="280" t="s">
        <v>347</v>
      </c>
      <c r="B87" s="267"/>
      <c r="C87" s="281">
        <v>187</v>
      </c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</row>
    <row r="88" spans="1:20" ht="12" customHeight="1" thickBot="1" x14ac:dyDescent="0.3">
      <c r="A88" s="294"/>
      <c r="B88" s="294"/>
      <c r="C88" s="294"/>
      <c r="D88" s="294"/>
      <c r="E88" s="763" t="s">
        <v>348</v>
      </c>
      <c r="F88" s="764"/>
      <c r="G88" s="764"/>
      <c r="H88" s="764"/>
      <c r="I88" s="764"/>
      <c r="J88" s="764"/>
      <c r="K88" s="764"/>
      <c r="L88" s="764"/>
      <c r="M88" s="764"/>
      <c r="N88" s="765"/>
      <c r="O88" s="763" t="s">
        <v>348</v>
      </c>
      <c r="P88" s="764"/>
      <c r="Q88" s="764"/>
      <c r="R88" s="764"/>
      <c r="S88" s="764"/>
      <c r="T88" s="764"/>
    </row>
    <row r="89" spans="1:20" ht="16.5" customHeight="1" thickBot="1" x14ac:dyDescent="0.4">
      <c r="F89" s="282"/>
      <c r="H89" s="282"/>
      <c r="I89" s="282"/>
      <c r="J89" s="282"/>
      <c r="K89" s="282"/>
      <c r="L89" s="282"/>
      <c r="M89" s="282"/>
      <c r="N89" s="282"/>
      <c r="P89" s="282"/>
      <c r="Q89" s="282"/>
      <c r="R89" s="282"/>
      <c r="S89" s="282"/>
      <c r="T89" s="282"/>
    </row>
    <row r="90" spans="1:20" ht="16.2" thickBot="1" x14ac:dyDescent="0.3">
      <c r="E90" s="755" t="s">
        <v>349</v>
      </c>
      <c r="F90" s="756"/>
      <c r="G90" s="756"/>
      <c r="H90" s="756"/>
      <c r="I90" s="756"/>
      <c r="J90" s="756"/>
      <c r="K90" s="756"/>
      <c r="L90" s="756"/>
      <c r="M90" s="756"/>
      <c r="N90" s="766"/>
      <c r="O90" s="755" t="s">
        <v>349</v>
      </c>
      <c r="P90" s="756"/>
      <c r="Q90" s="756"/>
      <c r="R90" s="756"/>
      <c r="S90" s="756"/>
      <c r="T90" s="756"/>
    </row>
    <row r="91" spans="1:20" ht="15.6" x14ac:dyDescent="0.3">
      <c r="E91" s="759" t="str">
        <f>+E13</f>
        <v>OFICIAL ESPACIALIZADO</v>
      </c>
      <c r="F91" s="758"/>
      <c r="G91" s="759" t="str">
        <f>+G13</f>
        <v>OFICIAL</v>
      </c>
      <c r="H91" s="758"/>
      <c r="I91" s="759" t="str">
        <f>+I13</f>
        <v>MEDIO OFICIAL</v>
      </c>
      <c r="J91" s="758"/>
      <c r="K91" s="759" t="str">
        <f>+K13</f>
        <v>AYUDANTE</v>
      </c>
      <c r="L91" s="758"/>
      <c r="M91" s="759">
        <f>+M13</f>
        <v>0</v>
      </c>
      <c r="N91" s="758"/>
      <c r="O91" s="759">
        <f>+O13</f>
        <v>0</v>
      </c>
      <c r="P91" s="758"/>
      <c r="Q91" s="759">
        <f>+Q13</f>
        <v>0</v>
      </c>
      <c r="R91" s="758"/>
      <c r="S91" s="759">
        <f>+S13</f>
        <v>0</v>
      </c>
      <c r="T91" s="758"/>
    </row>
    <row r="92" spans="1:20" ht="16.2" thickBot="1" x14ac:dyDescent="0.35">
      <c r="E92" s="284" t="s">
        <v>295</v>
      </c>
      <c r="F92" s="285" t="s">
        <v>296</v>
      </c>
      <c r="G92" s="284" t="s">
        <v>295</v>
      </c>
      <c r="H92" s="285" t="s">
        <v>296</v>
      </c>
      <c r="I92" s="284" t="s">
        <v>295</v>
      </c>
      <c r="J92" s="285" t="s">
        <v>296</v>
      </c>
      <c r="K92" s="284" t="s">
        <v>295</v>
      </c>
      <c r="L92" s="285" t="s">
        <v>296</v>
      </c>
      <c r="M92" s="284" t="s">
        <v>295</v>
      </c>
      <c r="N92" s="285" t="s">
        <v>296</v>
      </c>
      <c r="O92" s="284" t="s">
        <v>295</v>
      </c>
      <c r="P92" s="285" t="s">
        <v>296</v>
      </c>
      <c r="Q92" s="284" t="s">
        <v>295</v>
      </c>
      <c r="R92" s="285" t="s">
        <v>296</v>
      </c>
      <c r="S92" s="284" t="s">
        <v>295</v>
      </c>
      <c r="T92" s="285" t="s">
        <v>296</v>
      </c>
    </row>
    <row r="93" spans="1:20" ht="20.399999999999999" x14ac:dyDescent="0.35">
      <c r="A93" s="767" t="s">
        <v>350</v>
      </c>
      <c r="B93" s="767"/>
      <c r="C93" s="767"/>
      <c r="D93" s="767"/>
      <c r="E93" s="283">
        <f>+(E31-E27)*(100-15)%</f>
        <v>1196569.2420000001</v>
      </c>
      <c r="F93" s="583">
        <f>+E93/$C$87</f>
        <v>6398.7660000000005</v>
      </c>
      <c r="G93" s="283">
        <f>+(G31-G27)*(100-15)%</f>
        <v>1087790.2200000002</v>
      </c>
      <c r="H93" s="583">
        <f>+G93/$C$87</f>
        <v>5817.0600000000013</v>
      </c>
      <c r="I93" s="283">
        <f>+(I31-I27)*(100-15)%</f>
        <v>0</v>
      </c>
      <c r="J93" s="583">
        <f>+I93/$C$87</f>
        <v>0</v>
      </c>
      <c r="K93" s="283">
        <f>+(K31-K27)*(100-15)%</f>
        <v>0</v>
      </c>
      <c r="L93" s="583">
        <f>+K93/$C$87</f>
        <v>0</v>
      </c>
      <c r="M93" s="283">
        <f>+(M31-M27)*(100-15)%</f>
        <v>0</v>
      </c>
      <c r="N93" s="583">
        <f>+M93/$C$87</f>
        <v>0</v>
      </c>
      <c r="O93" s="283">
        <f>+(O31-O27)*(100-15)%</f>
        <v>0</v>
      </c>
      <c r="P93" s="583">
        <f>+O93/$C$87</f>
        <v>0</v>
      </c>
      <c r="Q93" s="283">
        <f>+(Q31-Q27)*(100-15)%</f>
        <v>0</v>
      </c>
      <c r="R93" s="583">
        <f>+Q93/$C$87</f>
        <v>0</v>
      </c>
      <c r="S93" s="283">
        <f>+(S31-S27)*(100-15)%</f>
        <v>0</v>
      </c>
      <c r="T93" s="583">
        <f>+S93/$C$87</f>
        <v>0</v>
      </c>
    </row>
    <row r="94" spans="1:20" ht="20.399999999999999" x14ac:dyDescent="0.35">
      <c r="A94" s="767" t="s">
        <v>351</v>
      </c>
      <c r="B94" s="767"/>
      <c r="C94" s="767"/>
      <c r="D94" s="767"/>
      <c r="E94" s="283">
        <f>+E16*$D$42</f>
        <v>58655.35500000001</v>
      </c>
      <c r="F94" s="583">
        <f>+E94/$C$87</f>
        <v>313.66500000000008</v>
      </c>
      <c r="G94" s="283">
        <f>+G16*$D$42</f>
        <v>53323.05</v>
      </c>
      <c r="H94" s="583">
        <f>+G94/$C$87</f>
        <v>285.15000000000003</v>
      </c>
      <c r="I94" s="283">
        <f>+I16*$D$42</f>
        <v>0</v>
      </c>
      <c r="J94" s="583">
        <f>+I94/$C$87</f>
        <v>0</v>
      </c>
      <c r="K94" s="283">
        <f>+K16*$D$42</f>
        <v>0</v>
      </c>
      <c r="L94" s="583">
        <f>+K94/$C$87</f>
        <v>0</v>
      </c>
      <c r="M94" s="283">
        <f>+M16*$D$42</f>
        <v>0</v>
      </c>
      <c r="N94" s="583">
        <f>+M94/$C$87</f>
        <v>0</v>
      </c>
      <c r="O94" s="283">
        <f>+O16*$D$42</f>
        <v>0</v>
      </c>
      <c r="P94" s="583">
        <f>+O94/$C$87</f>
        <v>0</v>
      </c>
      <c r="Q94" s="283">
        <f>+Q16*$D$42</f>
        <v>0</v>
      </c>
      <c r="R94" s="583">
        <f>+Q94/$C$87</f>
        <v>0</v>
      </c>
      <c r="S94" s="283">
        <f>+S16*$D$42</f>
        <v>0</v>
      </c>
      <c r="T94" s="583">
        <f>+S94/$C$87</f>
        <v>0</v>
      </c>
    </row>
    <row r="95" spans="1:20" ht="20.399999999999999" x14ac:dyDescent="0.35">
      <c r="A95" s="767" t="s">
        <v>352</v>
      </c>
      <c r="B95" s="767"/>
      <c r="C95" s="767"/>
      <c r="D95" s="767"/>
      <c r="E95" s="283">
        <f>+E54</f>
        <v>0</v>
      </c>
      <c r="F95" s="583">
        <f>+E95/$C$87</f>
        <v>0</v>
      </c>
      <c r="G95" s="283">
        <f>+G54</f>
        <v>0</v>
      </c>
      <c r="H95" s="583">
        <f>+G95/$C$87</f>
        <v>0</v>
      </c>
      <c r="I95" s="283">
        <f>+I54</f>
        <v>0</v>
      </c>
      <c r="J95" s="583">
        <f>+I95/$C$87</f>
        <v>0</v>
      </c>
      <c r="K95" s="283">
        <f>+K54</f>
        <v>0</v>
      </c>
      <c r="L95" s="583">
        <f>+K95/$C$87</f>
        <v>0</v>
      </c>
      <c r="M95" s="283">
        <f>+M54</f>
        <v>0</v>
      </c>
      <c r="N95" s="583">
        <f>+M95/$C$87</f>
        <v>0</v>
      </c>
      <c r="O95" s="283">
        <f>+O54</f>
        <v>0</v>
      </c>
      <c r="P95" s="583">
        <f>+O95/$C$87</f>
        <v>0</v>
      </c>
      <c r="Q95" s="283">
        <f>+Q54</f>
        <v>0</v>
      </c>
      <c r="R95" s="583">
        <f>+Q95/$C$87</f>
        <v>0</v>
      </c>
      <c r="S95" s="283">
        <f>+S54</f>
        <v>0</v>
      </c>
      <c r="T95" s="583">
        <f>+S95/$C$87</f>
        <v>0</v>
      </c>
    </row>
    <row r="96" spans="1:20" ht="15.6" x14ac:dyDescent="0.3">
      <c r="E96" s="267"/>
      <c r="G96" s="267"/>
      <c r="O96" s="267"/>
    </row>
    <row r="97" spans="1:21" ht="23.4" x14ac:dyDescent="0.6">
      <c r="A97" s="767" t="s">
        <v>353</v>
      </c>
      <c r="B97" s="767"/>
      <c r="C97" s="767"/>
      <c r="D97" s="767"/>
      <c r="E97" s="287">
        <f t="shared" ref="E97:T97" si="0">+SUM(E93:E95)</f>
        <v>1255224.5970000001</v>
      </c>
      <c r="F97" s="287">
        <f t="shared" si="0"/>
        <v>6712.4310000000005</v>
      </c>
      <c r="G97" s="287">
        <f>+SUM(G93:G95)</f>
        <v>1141113.2700000003</v>
      </c>
      <c r="H97" s="287">
        <f>+SUM(H93:H95)</f>
        <v>6102.2100000000009</v>
      </c>
      <c r="I97" s="287">
        <f t="shared" si="0"/>
        <v>0</v>
      </c>
      <c r="J97" s="287">
        <f t="shared" si="0"/>
        <v>0</v>
      </c>
      <c r="K97" s="287">
        <f t="shared" si="0"/>
        <v>0</v>
      </c>
      <c r="L97" s="287">
        <f t="shared" si="0"/>
        <v>0</v>
      </c>
      <c r="M97" s="287">
        <f t="shared" si="0"/>
        <v>0</v>
      </c>
      <c r="N97" s="287">
        <f t="shared" si="0"/>
        <v>0</v>
      </c>
      <c r="O97" s="287">
        <f t="shared" si="0"/>
        <v>0</v>
      </c>
      <c r="P97" s="287">
        <f t="shared" si="0"/>
        <v>0</v>
      </c>
      <c r="Q97" s="287">
        <f t="shared" si="0"/>
        <v>0</v>
      </c>
      <c r="R97" s="287">
        <f t="shared" si="0"/>
        <v>0</v>
      </c>
      <c r="S97" s="287">
        <f t="shared" si="0"/>
        <v>0</v>
      </c>
      <c r="T97" s="287">
        <f t="shared" si="0"/>
        <v>0</v>
      </c>
    </row>
    <row r="99" spans="1:21" ht="21" x14ac:dyDescent="0.4">
      <c r="A99" s="768" t="s">
        <v>354</v>
      </c>
      <c r="B99" s="768"/>
      <c r="C99" s="768"/>
      <c r="D99" s="768"/>
      <c r="E99" s="769">
        <f>+F84/F97</f>
        <v>2.8164535798367303</v>
      </c>
      <c r="F99" s="769"/>
      <c r="G99" s="769">
        <f>+H84/H97</f>
        <v>2.8224348302472748</v>
      </c>
      <c r="H99" s="769"/>
      <c r="I99" s="769" t="e">
        <f>+J84/J97</f>
        <v>#DIV/0!</v>
      </c>
      <c r="J99" s="769"/>
      <c r="K99" s="769" t="e">
        <f>+L84/L97</f>
        <v>#DIV/0!</v>
      </c>
      <c r="L99" s="769"/>
      <c r="M99" s="769" t="e">
        <f>+N84/N97</f>
        <v>#DIV/0!</v>
      </c>
      <c r="N99" s="769"/>
      <c r="O99" s="769" t="e">
        <f>+P84/P97</f>
        <v>#DIV/0!</v>
      </c>
      <c r="P99" s="769"/>
      <c r="Q99" s="769" t="e">
        <f>+R84/R97</f>
        <v>#DIV/0!</v>
      </c>
      <c r="R99" s="769"/>
      <c r="S99" s="769" t="e">
        <f>+T84/T97</f>
        <v>#DIV/0!</v>
      </c>
      <c r="T99" s="769"/>
    </row>
    <row r="101" spans="1:21" ht="15.6" x14ac:dyDescent="0.3">
      <c r="T101" s="320"/>
      <c r="U101" s="420"/>
    </row>
    <row r="102" spans="1:21" ht="15.75" customHeight="1" x14ac:dyDescent="0.3">
      <c r="A102" s="350" t="s">
        <v>355</v>
      </c>
      <c r="B102" s="770" t="s">
        <v>356</v>
      </c>
      <c r="C102" s="771"/>
      <c r="D102" s="772"/>
      <c r="E102" s="351"/>
      <c r="F102" s="351"/>
      <c r="G102" s="351"/>
      <c r="H102" s="351"/>
      <c r="I102" s="463">
        <v>39661</v>
      </c>
      <c r="K102" s="462">
        <v>39508</v>
      </c>
      <c r="L102" s="461"/>
      <c r="M102" s="461"/>
      <c r="N102" s="461"/>
    </row>
    <row r="103" spans="1:21" ht="15.75" customHeight="1" x14ac:dyDescent="0.3">
      <c r="A103" s="352" t="s">
        <v>357</v>
      </c>
      <c r="B103" s="773"/>
      <c r="C103" s="774"/>
      <c r="D103" s="775"/>
      <c r="E103" s="353"/>
      <c r="F103" s="353"/>
      <c r="G103" s="353"/>
      <c r="H103" s="353"/>
      <c r="I103" s="584">
        <v>8.9600000000000009</v>
      </c>
      <c r="J103" s="257">
        <v>1.32</v>
      </c>
      <c r="K103" s="584">
        <v>6.04</v>
      </c>
      <c r="L103" s="571"/>
      <c r="M103" s="571"/>
      <c r="N103" s="445"/>
      <c r="O103" s="420"/>
      <c r="Q103" s="776"/>
      <c r="R103" s="776"/>
      <c r="S103" s="776"/>
      <c r="T103" s="776"/>
      <c r="U103" s="420"/>
    </row>
    <row r="104" spans="1:21" ht="15.75" customHeight="1" x14ac:dyDescent="0.3">
      <c r="A104" s="352" t="s">
        <v>358</v>
      </c>
      <c r="B104" s="773"/>
      <c r="C104" s="774"/>
      <c r="D104" s="775"/>
      <c r="E104" s="353"/>
      <c r="F104" s="353"/>
      <c r="G104" s="353"/>
      <c r="H104" s="353"/>
      <c r="I104" s="584"/>
      <c r="J104" s="257">
        <v>1.28</v>
      </c>
      <c r="K104" s="584">
        <v>6.5403550295857986</v>
      </c>
      <c r="L104" s="571"/>
      <c r="M104" s="571"/>
      <c r="N104" s="445"/>
      <c r="O104" s="420"/>
      <c r="U104" s="421"/>
    </row>
    <row r="105" spans="1:21" ht="15.75" customHeight="1" x14ac:dyDescent="0.3">
      <c r="A105" s="352" t="s">
        <v>359</v>
      </c>
      <c r="B105" s="773"/>
      <c r="C105" s="774"/>
      <c r="D105" s="775"/>
      <c r="E105" s="353"/>
      <c r="F105" s="353"/>
      <c r="G105" s="353"/>
      <c r="H105" s="353"/>
      <c r="I105" s="584">
        <v>10.47</v>
      </c>
      <c r="J105" s="257">
        <v>1.28</v>
      </c>
      <c r="K105" s="584">
        <v>7.0645364891518732</v>
      </c>
      <c r="L105" s="571"/>
      <c r="M105" s="571"/>
      <c r="N105" s="445"/>
      <c r="O105" s="420"/>
    </row>
    <row r="106" spans="1:21" ht="15.75" customHeight="1" x14ac:dyDescent="0.3">
      <c r="A106" s="352" t="s">
        <v>360</v>
      </c>
      <c r="B106" s="773"/>
      <c r="C106" s="774"/>
      <c r="D106" s="775"/>
      <c r="E106" s="353"/>
      <c r="F106" s="353"/>
      <c r="G106" s="353"/>
      <c r="H106" s="353"/>
      <c r="I106" s="584"/>
      <c r="J106" s="257">
        <v>1.28</v>
      </c>
      <c r="K106" s="584">
        <v>7.5410650887573958</v>
      </c>
      <c r="L106" s="571"/>
      <c r="M106" s="571"/>
      <c r="N106" s="445"/>
      <c r="O106" s="420"/>
    </row>
    <row r="107" spans="1:21" ht="15.75" customHeight="1" x14ac:dyDescent="0.3">
      <c r="A107" s="352" t="s">
        <v>361</v>
      </c>
      <c r="B107" s="773"/>
      <c r="C107" s="774"/>
      <c r="D107" s="775"/>
      <c r="E107" s="353"/>
      <c r="F107" s="353"/>
      <c r="G107" s="353"/>
      <c r="H107" s="353"/>
      <c r="I107" s="584"/>
      <c r="J107" s="257">
        <v>1.28</v>
      </c>
      <c r="K107" s="584">
        <v>7.981854043392504</v>
      </c>
      <c r="L107" s="571"/>
      <c r="M107" s="571"/>
      <c r="N107" s="445"/>
      <c r="O107" s="420"/>
    </row>
    <row r="108" spans="1:21" ht="15.75" customHeight="1" x14ac:dyDescent="0.3">
      <c r="A108" s="352" t="s">
        <v>362</v>
      </c>
      <c r="B108" s="773"/>
      <c r="C108" s="774"/>
      <c r="D108" s="775"/>
      <c r="E108" s="353"/>
      <c r="F108" s="353"/>
      <c r="G108" s="353"/>
      <c r="H108" s="353"/>
      <c r="I108" s="584">
        <v>12.38</v>
      </c>
      <c r="J108" s="257">
        <v>1.28</v>
      </c>
      <c r="K108" s="584">
        <v>8.339250493096646</v>
      </c>
      <c r="L108" s="571"/>
      <c r="M108" s="571"/>
      <c r="N108" s="445"/>
      <c r="O108" s="420"/>
    </row>
    <row r="109" spans="1:21" ht="15.75" customHeight="1" x14ac:dyDescent="0.3">
      <c r="A109" s="352" t="s">
        <v>363</v>
      </c>
      <c r="B109" s="773"/>
      <c r="C109" s="774"/>
      <c r="D109" s="775"/>
      <c r="E109" s="353"/>
      <c r="F109" s="353"/>
      <c r="G109" s="353"/>
      <c r="H109" s="353"/>
      <c r="I109" s="584">
        <v>13.33</v>
      </c>
      <c r="J109" s="257">
        <v>1.28</v>
      </c>
      <c r="K109" s="584">
        <v>8.9825641025640994</v>
      </c>
      <c r="L109" s="571"/>
      <c r="M109" s="571"/>
      <c r="N109" s="445"/>
      <c r="O109" s="420"/>
    </row>
    <row r="110" spans="1:21" ht="15.6" x14ac:dyDescent="0.3">
      <c r="A110" s="352" t="s">
        <v>364</v>
      </c>
      <c r="B110" s="773"/>
      <c r="C110" s="774"/>
      <c r="D110" s="775"/>
      <c r="E110" s="353"/>
      <c r="F110" s="353"/>
      <c r="G110" s="353"/>
      <c r="H110" s="353"/>
      <c r="I110" s="584">
        <f>I109</f>
        <v>13.33</v>
      </c>
      <c r="K110" s="584"/>
      <c r="L110" s="571"/>
      <c r="M110" s="571"/>
      <c r="N110" s="445"/>
      <c r="O110" s="420"/>
    </row>
    <row r="112" spans="1:21" x14ac:dyDescent="0.25">
      <c r="E112" s="571"/>
      <c r="G112" s="571"/>
      <c r="I112" s="571"/>
      <c r="K112" s="571"/>
      <c r="M112" s="571"/>
      <c r="O112" s="571"/>
      <c r="Q112" s="571"/>
      <c r="S112" s="571"/>
    </row>
    <row r="113" spans="1:20" x14ac:dyDescent="0.25">
      <c r="E113" s="446"/>
      <c r="F113" s="320"/>
      <c r="G113" s="446"/>
      <c r="H113" s="320"/>
      <c r="I113" s="446"/>
      <c r="J113" s="320"/>
      <c r="K113" s="320"/>
      <c r="L113" s="320"/>
      <c r="M113" s="320"/>
      <c r="N113" s="320"/>
      <c r="O113" s="446"/>
      <c r="P113" s="320"/>
      <c r="Q113" s="320"/>
      <c r="R113" s="320"/>
      <c r="S113" s="446"/>
      <c r="T113" s="320"/>
    </row>
    <row r="114" spans="1:20" ht="15.6" x14ac:dyDescent="0.3">
      <c r="A114" s="441"/>
      <c r="B114" s="420"/>
      <c r="E114" s="571"/>
      <c r="G114" s="571"/>
      <c r="I114" s="571"/>
      <c r="O114" s="571"/>
      <c r="S114" s="571"/>
    </row>
    <row r="115" spans="1:20" x14ac:dyDescent="0.25">
      <c r="B115" s="344"/>
    </row>
    <row r="116" spans="1:20" ht="15.6" x14ac:dyDescent="0.3">
      <c r="B116" s="443"/>
    </row>
    <row r="117" spans="1:20" ht="19.2" x14ac:dyDescent="0.6">
      <c r="B117" s="444"/>
    </row>
    <row r="119" spans="1:20" x14ac:dyDescent="0.25">
      <c r="F119" s="571"/>
      <c r="H119" s="571"/>
    </row>
    <row r="120" spans="1:20" x14ac:dyDescent="0.25">
      <c r="F120" s="571"/>
      <c r="H120" s="571"/>
    </row>
  </sheetData>
  <mergeCells count="50">
    <mergeCell ref="O99:P99"/>
    <mergeCell ref="Q99:R99"/>
    <mergeCell ref="S99:T99"/>
    <mergeCell ref="B102:D110"/>
    <mergeCell ref="Q103:T103"/>
    <mergeCell ref="E99:F99"/>
    <mergeCell ref="G99:H99"/>
    <mergeCell ref="I99:J99"/>
    <mergeCell ref="K99:L99"/>
    <mergeCell ref="M99:N99"/>
    <mergeCell ref="A93:D93"/>
    <mergeCell ref="A94:D94"/>
    <mergeCell ref="A95:D95"/>
    <mergeCell ref="A97:D97"/>
    <mergeCell ref="A99:D99"/>
    <mergeCell ref="E90:N90"/>
    <mergeCell ref="O90:T90"/>
    <mergeCell ref="E91:F91"/>
    <mergeCell ref="G91:H91"/>
    <mergeCell ref="I91:J91"/>
    <mergeCell ref="K91:L91"/>
    <mergeCell ref="M91:N91"/>
    <mergeCell ref="O91:P91"/>
    <mergeCell ref="Q91:R91"/>
    <mergeCell ref="S91:T91"/>
    <mergeCell ref="A48:C48"/>
    <mergeCell ref="A70:C70"/>
    <mergeCell ref="A84:D84"/>
    <mergeCell ref="E88:N88"/>
    <mergeCell ref="O88:T88"/>
    <mergeCell ref="O13:P13"/>
    <mergeCell ref="Q13:R13"/>
    <mergeCell ref="S13:T13"/>
    <mergeCell ref="A15:C15"/>
    <mergeCell ref="A35:C35"/>
    <mergeCell ref="E13:F13"/>
    <mergeCell ref="G13:H13"/>
    <mergeCell ref="I13:J13"/>
    <mergeCell ref="K13:L13"/>
    <mergeCell ref="M13:N13"/>
    <mergeCell ref="M10:N10"/>
    <mergeCell ref="O10:P10"/>
    <mergeCell ref="Q10:R10"/>
    <mergeCell ref="S10:T10"/>
    <mergeCell ref="E12:T12"/>
    <mergeCell ref="A10:C10"/>
    <mergeCell ref="E10:F10"/>
    <mergeCell ref="G10:H10"/>
    <mergeCell ref="I10:J10"/>
    <mergeCell ref="K10:L10"/>
  </mergeCells>
  <conditionalFormatting sqref="R1:R2 T1:T2 I1:I3 K1:K3 M1:M3 O1:O3 S1:S3">
    <cfRule type="cellIs" dxfId="0" priority="2" stopIfTrue="1" operator="lessThan">
      <formula>0</formula>
    </cfRule>
  </conditionalFormatting>
  <printOptions horizontalCentered="1"/>
  <pageMargins left="0.26" right="0.21" top="0.45" bottom="0.35" header="0" footer="0"/>
  <pageSetup paperSize="9" scale="24" orientation="landscape" horizont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Q49"/>
  <sheetViews>
    <sheetView view="pageBreakPreview" topLeftCell="A6" zoomScale="50" zoomScaleNormal="50" workbookViewId="0">
      <selection activeCell="C11" sqref="C11"/>
    </sheetView>
  </sheetViews>
  <sheetFormatPr baseColWidth="10" defaultColWidth="11.44140625" defaultRowHeight="13.2" x14ac:dyDescent="0.25"/>
  <cols>
    <col min="2" max="2" width="61.5546875" bestFit="1" customWidth="1"/>
    <col min="3" max="3" width="20.5546875" bestFit="1" customWidth="1"/>
    <col min="4" max="4" width="16.109375" bestFit="1" customWidth="1"/>
    <col min="5" max="5" width="20.44140625" bestFit="1" customWidth="1"/>
    <col min="6" max="6" width="2.33203125" customWidth="1"/>
    <col min="7" max="7" width="11.33203125" bestFit="1" customWidth="1"/>
    <col min="8" max="9" width="10.6640625" bestFit="1" customWidth="1"/>
    <col min="10" max="10" width="9.5546875" bestFit="1" customWidth="1"/>
    <col min="11" max="11" width="18.6640625" bestFit="1" customWidth="1"/>
    <col min="12" max="12" width="12" customWidth="1"/>
    <col min="13" max="13" width="16.109375" bestFit="1" customWidth="1"/>
    <col min="14" max="14" width="10.5546875" bestFit="1" customWidth="1"/>
    <col min="15" max="15" width="16.6640625" bestFit="1" customWidth="1"/>
    <col min="16" max="16" width="8.44140625" bestFit="1" customWidth="1"/>
    <col min="17" max="17" width="12" customWidth="1"/>
    <col min="18" max="20" width="10.44140625" bestFit="1" customWidth="1"/>
    <col min="21" max="21" width="10.6640625" bestFit="1" customWidth="1"/>
    <col min="22" max="22" width="12.44140625" bestFit="1" customWidth="1"/>
    <col min="23" max="23" width="12.109375" bestFit="1" customWidth="1"/>
    <col min="24" max="24" width="14.44140625" bestFit="1" customWidth="1"/>
    <col min="25" max="26" width="11.88671875" bestFit="1" customWidth="1"/>
    <col min="27" max="27" width="14.44140625" bestFit="1" customWidth="1"/>
    <col min="28" max="28" width="13.5546875" bestFit="1" customWidth="1"/>
    <col min="29" max="31" width="11.6640625" bestFit="1" customWidth="1"/>
    <col min="32" max="32" width="11.6640625" customWidth="1"/>
    <col min="33" max="33" width="11.6640625" bestFit="1" customWidth="1"/>
    <col min="34" max="34" width="14" bestFit="1" customWidth="1"/>
    <col min="35" max="35" width="18.109375" bestFit="1" customWidth="1"/>
    <col min="36" max="36" width="13.88671875" bestFit="1" customWidth="1"/>
    <col min="41" max="41" width="16.6640625" bestFit="1" customWidth="1"/>
    <col min="42" max="42" width="3.109375" customWidth="1"/>
    <col min="43" max="43" width="13" bestFit="1" customWidth="1"/>
  </cols>
  <sheetData>
    <row r="2" spans="1:43" ht="33" x14ac:dyDescent="0.6">
      <c r="B2" s="288" t="s">
        <v>285</v>
      </c>
    </row>
    <row r="3" spans="1:43" ht="33" x14ac:dyDescent="0.6">
      <c r="B3" s="288"/>
    </row>
    <row r="6" spans="1:43" ht="180" customHeight="1" x14ac:dyDescent="0.25">
      <c r="B6" s="778" t="s">
        <v>365</v>
      </c>
      <c r="C6" s="780" t="s">
        <v>366</v>
      </c>
      <c r="D6" s="780" t="s">
        <v>367</v>
      </c>
      <c r="E6" s="784" t="s">
        <v>368</v>
      </c>
      <c r="F6" s="782"/>
      <c r="G6" s="325" t="s">
        <v>369</v>
      </c>
      <c r="H6" s="793" t="s">
        <v>370</v>
      </c>
      <c r="I6" s="325" t="s">
        <v>371</v>
      </c>
      <c r="J6" s="325" t="s">
        <v>372</v>
      </c>
      <c r="K6" s="795" t="s">
        <v>373</v>
      </c>
      <c r="L6" s="325" t="s">
        <v>374</v>
      </c>
      <c r="M6" s="326" t="s">
        <v>375</v>
      </c>
      <c r="N6" s="325" t="s">
        <v>31</v>
      </c>
      <c r="O6" s="326" t="s">
        <v>376</v>
      </c>
      <c r="P6" s="789" t="s">
        <v>377</v>
      </c>
      <c r="Q6" s="326" t="s">
        <v>378</v>
      </c>
      <c r="R6" s="326" t="s">
        <v>379</v>
      </c>
      <c r="S6" s="328" t="s">
        <v>380</v>
      </c>
      <c r="T6" s="328" t="s">
        <v>150</v>
      </c>
      <c r="U6" s="328" t="s">
        <v>381</v>
      </c>
      <c r="V6" s="327" t="s">
        <v>382</v>
      </c>
      <c r="W6" s="327" t="s">
        <v>383</v>
      </c>
      <c r="X6" s="326" t="s">
        <v>384</v>
      </c>
      <c r="Y6" s="326" t="s">
        <v>385</v>
      </c>
      <c r="Z6" s="327" t="s">
        <v>386</v>
      </c>
      <c r="AA6" s="326" t="s">
        <v>387</v>
      </c>
      <c r="AB6" s="326" t="s">
        <v>388</v>
      </c>
      <c r="AC6" s="326" t="s">
        <v>389</v>
      </c>
      <c r="AD6" s="326" t="s">
        <v>390</v>
      </c>
      <c r="AE6" s="326" t="s">
        <v>391</v>
      </c>
      <c r="AF6" s="326" t="s">
        <v>392</v>
      </c>
      <c r="AG6" s="326" t="s">
        <v>393</v>
      </c>
      <c r="AH6" s="327" t="s">
        <v>394</v>
      </c>
      <c r="AI6" s="791" t="s">
        <v>395</v>
      </c>
      <c r="AJ6" s="329" t="s">
        <v>396</v>
      </c>
      <c r="AL6" s="786" t="s">
        <v>397</v>
      </c>
      <c r="AM6" s="786" t="s">
        <v>398</v>
      </c>
      <c r="AN6" s="789" t="s">
        <v>399</v>
      </c>
      <c r="AO6" s="786" t="s">
        <v>400</v>
      </c>
      <c r="AQ6" s="787" t="s">
        <v>401</v>
      </c>
    </row>
    <row r="7" spans="1:43" ht="50.1" customHeight="1" x14ac:dyDescent="0.25">
      <c r="B7" s="779"/>
      <c r="C7" s="781"/>
      <c r="D7" s="781"/>
      <c r="E7" s="785"/>
      <c r="F7" s="783"/>
      <c r="G7" s="330">
        <v>0</v>
      </c>
      <c r="H7" s="794"/>
      <c r="I7" s="331">
        <v>14</v>
      </c>
      <c r="J7" s="331">
        <v>0</v>
      </c>
      <c r="K7" s="796"/>
      <c r="L7" s="332">
        <v>0.22</v>
      </c>
      <c r="M7" s="333"/>
      <c r="N7" s="334">
        <v>4.2000000000000003E-2</v>
      </c>
      <c r="O7" s="332">
        <v>0</v>
      </c>
      <c r="P7" s="790"/>
      <c r="Q7" s="332">
        <v>0.14000000000000001</v>
      </c>
      <c r="R7" s="332">
        <v>0.04</v>
      </c>
      <c r="S7" s="335">
        <v>1.3</v>
      </c>
      <c r="T7" s="335">
        <v>0</v>
      </c>
      <c r="U7" s="335">
        <v>0</v>
      </c>
      <c r="V7" s="335">
        <v>0</v>
      </c>
      <c r="W7" s="335">
        <f>((400+400*10%)/12)*0</f>
        <v>0</v>
      </c>
      <c r="X7" s="335">
        <v>5500</v>
      </c>
      <c r="Y7" s="332">
        <v>0</v>
      </c>
      <c r="Z7" s="335">
        <v>0.6</v>
      </c>
      <c r="AA7" s="335">
        <v>5500</v>
      </c>
      <c r="AB7" s="335">
        <v>0</v>
      </c>
      <c r="AC7" s="332">
        <v>0</v>
      </c>
      <c r="AD7" s="332">
        <v>0</v>
      </c>
      <c r="AE7" s="332">
        <v>0.05</v>
      </c>
      <c r="AF7" s="332">
        <v>0.02</v>
      </c>
      <c r="AG7" s="332">
        <v>8.3299999999999999E-2</v>
      </c>
      <c r="AH7" s="335">
        <v>0</v>
      </c>
      <c r="AI7" s="792"/>
      <c r="AJ7" s="331">
        <v>200</v>
      </c>
      <c r="AL7" s="786"/>
      <c r="AM7" s="786"/>
      <c r="AN7" s="790"/>
      <c r="AO7" s="786"/>
      <c r="AQ7" s="788"/>
    </row>
    <row r="8" spans="1:43" ht="39.9" customHeight="1" x14ac:dyDescent="0.25">
      <c r="B8" s="336" t="s">
        <v>402</v>
      </c>
      <c r="C8" s="337">
        <f>599000*1.4*2.6*1.2</f>
        <v>2616432</v>
      </c>
      <c r="D8" s="337">
        <v>1000</v>
      </c>
      <c r="E8" s="407">
        <f t="shared" ref="E8:E15" si="0">+C8+D8</f>
        <v>2617432</v>
      </c>
      <c r="F8" s="338"/>
      <c r="G8" s="585">
        <f t="shared" ref="G8:G15" si="1">+((C8+D8)*$G$7)</f>
        <v>0</v>
      </c>
      <c r="H8" s="585">
        <f t="shared" ref="H8:H15" si="2">(C8+D8+G8)/12</f>
        <v>218119.33333333334</v>
      </c>
      <c r="I8" s="585">
        <f t="shared" ref="I8:I15" si="3">((SUM(C8:G8)/25)*$I$7)/12</f>
        <v>244293.65333333332</v>
      </c>
      <c r="J8" s="585">
        <f t="shared" ref="J8:J15" si="4">((C8/191)*$J$7)/12</f>
        <v>0</v>
      </c>
      <c r="K8" s="339">
        <f t="shared" ref="K8:K15" si="5">+E8+SUM(G8:J8)</f>
        <v>3079844.9866666668</v>
      </c>
      <c r="L8" s="586">
        <f t="shared" ref="L8:L15" si="6">K8*$L$7</f>
        <v>677565.89706666674</v>
      </c>
      <c r="M8" s="586"/>
      <c r="N8" s="586">
        <f t="shared" ref="N8:N15" si="7">K8*$N$7</f>
        <v>129353.48944000002</v>
      </c>
      <c r="O8" s="586">
        <f t="shared" ref="O8:O15" si="8">(C8)*$O$7</f>
        <v>0</v>
      </c>
      <c r="P8" s="586">
        <f t="shared" ref="P8:P15" si="9">O8/12</f>
        <v>0</v>
      </c>
      <c r="Q8" s="586">
        <f t="shared" ref="Q8:Q15" si="10">(O8+P8)*$Q$7</f>
        <v>0</v>
      </c>
      <c r="R8" s="586">
        <f t="shared" ref="R8:R15" si="11">(O8+P8)*$R$7</f>
        <v>0</v>
      </c>
      <c r="S8" s="586">
        <f t="shared" ref="S8:S15" si="12">+$S$7</f>
        <v>1.3</v>
      </c>
      <c r="T8" s="586"/>
      <c r="U8" s="586">
        <f t="shared" ref="U8:U15" si="13">+$U$7</f>
        <v>0</v>
      </c>
      <c r="V8" s="586">
        <f t="shared" ref="V8:V15" si="14">+$V$7</f>
        <v>0</v>
      </c>
      <c r="W8" s="586">
        <f t="shared" ref="W8:W15" si="15">+$W$7</f>
        <v>0</v>
      </c>
      <c r="X8" s="586">
        <f t="shared" ref="X8:X15" si="16">+$X$7/12</f>
        <v>458.33333333333331</v>
      </c>
      <c r="Y8" s="586">
        <f t="shared" ref="Y8:Y15" si="17">(K8*85%)*$Y$7</f>
        <v>0</v>
      </c>
      <c r="Z8" s="586">
        <f t="shared" ref="Z8:Z15" si="18">+$Z$7</f>
        <v>0.6</v>
      </c>
      <c r="AA8" s="586">
        <f t="shared" ref="AA8:AA15" si="19">+$AA$7/12</f>
        <v>458.33333333333331</v>
      </c>
      <c r="AB8" s="586">
        <f t="shared" ref="AB8:AB15" si="20">+$AB$7/12</f>
        <v>0</v>
      </c>
      <c r="AC8" s="586">
        <f t="shared" ref="AC8:AC15" si="21">K8*$AC$7</f>
        <v>0</v>
      </c>
      <c r="AD8" s="586">
        <f t="shared" ref="AD8:AD15" si="22">K8*$AD$7</f>
        <v>0</v>
      </c>
      <c r="AE8" s="586">
        <f t="shared" ref="AE8:AE15" si="23">K8*$AE$7</f>
        <v>153992.24933333334</v>
      </c>
      <c r="AF8" s="586">
        <f t="shared" ref="AF8:AF15" si="24">+K8*$AF$7</f>
        <v>61596.899733333339</v>
      </c>
      <c r="AG8" s="586">
        <f>K8*$AG$7+SUM(C8:D8)*(1/(12*2))</f>
        <v>365610.75405600003</v>
      </c>
      <c r="AH8" s="586">
        <f t="shared" ref="AH8:AH15" si="25">+$AH$7</f>
        <v>0</v>
      </c>
      <c r="AI8" s="340">
        <f t="shared" ref="AI8:AI15" si="26">+SUM(K8:AH8)</f>
        <v>4468882.8429626673</v>
      </c>
      <c r="AJ8" s="340">
        <f t="shared" ref="AJ8:AJ15" si="27">+AI8/$AJ$7</f>
        <v>22344.414214813336</v>
      </c>
      <c r="AL8" s="586">
        <f t="shared" ref="AL8:AL15" si="28">+((C8)-(C8)*17%)</f>
        <v>2171638.56</v>
      </c>
      <c r="AM8" s="586">
        <f t="shared" ref="AM8:AM15" si="29">+O8</f>
        <v>0</v>
      </c>
      <c r="AN8" s="586">
        <f t="shared" ref="AN8:AN15" si="30">+D8-D8*17%</f>
        <v>830</v>
      </c>
      <c r="AO8" s="341">
        <f t="shared" ref="AO8:AO15" si="31">+AL8+AM8+AN8</f>
        <v>2172468.56</v>
      </c>
      <c r="AQ8" s="342">
        <f t="shared" ref="AQ8:AQ15" si="32">+AI8/AO8</f>
        <v>2.05705294209766</v>
      </c>
    </row>
    <row r="9" spans="1:43" ht="39.9" customHeight="1" x14ac:dyDescent="0.25">
      <c r="B9" s="336" t="s">
        <v>403</v>
      </c>
      <c r="C9" s="337">
        <f>1.4*450000*2*1.5</f>
        <v>1890000</v>
      </c>
      <c r="D9" s="337">
        <v>1000</v>
      </c>
      <c r="E9" s="407">
        <f t="shared" si="0"/>
        <v>1891000</v>
      </c>
      <c r="F9" s="338"/>
      <c r="G9" s="585">
        <f t="shared" si="1"/>
        <v>0</v>
      </c>
      <c r="H9" s="585">
        <f t="shared" si="2"/>
        <v>157583.33333333334</v>
      </c>
      <c r="I9" s="585">
        <f t="shared" si="3"/>
        <v>176493.33333333334</v>
      </c>
      <c r="J9" s="585">
        <f t="shared" si="4"/>
        <v>0</v>
      </c>
      <c r="K9" s="339">
        <f t="shared" si="5"/>
        <v>2225076.6666666665</v>
      </c>
      <c r="L9" s="586">
        <f t="shared" si="6"/>
        <v>489516.86666666664</v>
      </c>
      <c r="M9" s="586"/>
      <c r="N9" s="586">
        <f t="shared" si="7"/>
        <v>93453.22</v>
      </c>
      <c r="O9" s="586">
        <f t="shared" si="8"/>
        <v>0</v>
      </c>
      <c r="P9" s="586">
        <f t="shared" si="9"/>
        <v>0</v>
      </c>
      <c r="Q9" s="586">
        <f t="shared" si="10"/>
        <v>0</v>
      </c>
      <c r="R9" s="586">
        <f t="shared" si="11"/>
        <v>0</v>
      </c>
      <c r="S9" s="586">
        <f t="shared" si="12"/>
        <v>1.3</v>
      </c>
      <c r="T9" s="586"/>
      <c r="U9" s="586">
        <f t="shared" si="13"/>
        <v>0</v>
      </c>
      <c r="V9" s="586">
        <f t="shared" si="14"/>
        <v>0</v>
      </c>
      <c r="W9" s="586">
        <f t="shared" si="15"/>
        <v>0</v>
      </c>
      <c r="X9" s="586">
        <f t="shared" si="16"/>
        <v>458.33333333333331</v>
      </c>
      <c r="Y9" s="586">
        <f t="shared" si="17"/>
        <v>0</v>
      </c>
      <c r="Z9" s="586">
        <f t="shared" si="18"/>
        <v>0.6</v>
      </c>
      <c r="AA9" s="586">
        <f t="shared" si="19"/>
        <v>458.33333333333331</v>
      </c>
      <c r="AB9" s="586">
        <f t="shared" si="20"/>
        <v>0</v>
      </c>
      <c r="AC9" s="586">
        <f t="shared" si="21"/>
        <v>0</v>
      </c>
      <c r="AD9" s="586">
        <f t="shared" si="22"/>
        <v>0</v>
      </c>
      <c r="AE9" s="586">
        <f t="shared" si="23"/>
        <v>111253.83333333333</v>
      </c>
      <c r="AF9" s="586">
        <f t="shared" si="24"/>
        <v>44501.533333333333</v>
      </c>
      <c r="AG9" s="586">
        <f t="shared" ref="AG9:AG15" si="33">K9*$AG$7+SUM(C9:D9)*(1/(12*3))</f>
        <v>237876.66411111111</v>
      </c>
      <c r="AH9" s="586">
        <f t="shared" si="25"/>
        <v>0</v>
      </c>
      <c r="AI9" s="340">
        <f t="shared" si="26"/>
        <v>3202597.3507777783</v>
      </c>
      <c r="AJ9" s="340">
        <f t="shared" si="27"/>
        <v>16012.986753888892</v>
      </c>
      <c r="AL9" s="586">
        <f t="shared" si="28"/>
        <v>1568700</v>
      </c>
      <c r="AM9" s="586">
        <f t="shared" si="29"/>
        <v>0</v>
      </c>
      <c r="AN9" s="586">
        <f t="shared" si="30"/>
        <v>830</v>
      </c>
      <c r="AO9" s="341">
        <f t="shared" si="31"/>
        <v>1569530</v>
      </c>
      <c r="AQ9" s="342">
        <f t="shared" si="32"/>
        <v>2.0404817689230397</v>
      </c>
    </row>
    <row r="10" spans="1:43" ht="39.9" customHeight="1" x14ac:dyDescent="0.25">
      <c r="B10" s="336" t="s">
        <v>404</v>
      </c>
      <c r="C10" s="337">
        <f>1.4*400000*2.5*1.3</f>
        <v>1820000</v>
      </c>
      <c r="D10" s="337">
        <v>1000</v>
      </c>
      <c r="E10" s="407">
        <f t="shared" si="0"/>
        <v>1821000</v>
      </c>
      <c r="F10" s="338"/>
      <c r="G10" s="585">
        <f t="shared" si="1"/>
        <v>0</v>
      </c>
      <c r="H10" s="585">
        <f t="shared" si="2"/>
        <v>151750</v>
      </c>
      <c r="I10" s="585">
        <f t="shared" si="3"/>
        <v>169960</v>
      </c>
      <c r="J10" s="585">
        <f t="shared" si="4"/>
        <v>0</v>
      </c>
      <c r="K10" s="339">
        <f t="shared" si="5"/>
        <v>2142710</v>
      </c>
      <c r="L10" s="586">
        <f t="shared" si="6"/>
        <v>471396.2</v>
      </c>
      <c r="M10" s="586"/>
      <c r="N10" s="586">
        <f t="shared" si="7"/>
        <v>89993.82</v>
      </c>
      <c r="O10" s="586">
        <f t="shared" si="8"/>
        <v>0</v>
      </c>
      <c r="P10" s="586">
        <f t="shared" si="9"/>
        <v>0</v>
      </c>
      <c r="Q10" s="586">
        <f t="shared" si="10"/>
        <v>0</v>
      </c>
      <c r="R10" s="586">
        <f t="shared" si="11"/>
        <v>0</v>
      </c>
      <c r="S10" s="586">
        <f t="shared" si="12"/>
        <v>1.3</v>
      </c>
      <c r="T10" s="586"/>
      <c r="U10" s="586">
        <f t="shared" si="13"/>
        <v>0</v>
      </c>
      <c r="V10" s="586">
        <f t="shared" si="14"/>
        <v>0</v>
      </c>
      <c r="W10" s="586">
        <f t="shared" si="15"/>
        <v>0</v>
      </c>
      <c r="X10" s="586">
        <f t="shared" si="16"/>
        <v>458.33333333333331</v>
      </c>
      <c r="Y10" s="586">
        <f t="shared" si="17"/>
        <v>0</v>
      </c>
      <c r="Z10" s="586">
        <f t="shared" si="18"/>
        <v>0.6</v>
      </c>
      <c r="AA10" s="586">
        <f t="shared" si="19"/>
        <v>458.33333333333331</v>
      </c>
      <c r="AB10" s="586">
        <f t="shared" si="20"/>
        <v>0</v>
      </c>
      <c r="AC10" s="586">
        <f t="shared" si="21"/>
        <v>0</v>
      </c>
      <c r="AD10" s="586">
        <f t="shared" si="22"/>
        <v>0</v>
      </c>
      <c r="AE10" s="586">
        <f t="shared" si="23"/>
        <v>107135.5</v>
      </c>
      <c r="AF10" s="586">
        <f t="shared" si="24"/>
        <v>42854.200000000004</v>
      </c>
      <c r="AG10" s="586">
        <f t="shared" si="33"/>
        <v>229071.07633333333</v>
      </c>
      <c r="AH10" s="586">
        <f t="shared" si="25"/>
        <v>0</v>
      </c>
      <c r="AI10" s="340">
        <f t="shared" si="26"/>
        <v>3084079.3630000004</v>
      </c>
      <c r="AJ10" s="340">
        <f t="shared" si="27"/>
        <v>15420.396815000002</v>
      </c>
      <c r="AL10" s="586">
        <f t="shared" si="28"/>
        <v>1510600</v>
      </c>
      <c r="AM10" s="586">
        <f t="shared" si="29"/>
        <v>0</v>
      </c>
      <c r="AN10" s="586">
        <f t="shared" si="30"/>
        <v>830</v>
      </c>
      <c r="AO10" s="341">
        <f t="shared" si="31"/>
        <v>1511430</v>
      </c>
      <c r="AQ10" s="342">
        <f t="shared" si="32"/>
        <v>2.0405042661585386</v>
      </c>
    </row>
    <row r="11" spans="1:43" ht="39.9" customHeight="1" x14ac:dyDescent="0.25">
      <c r="A11">
        <f>15000000/0.83</f>
        <v>18072289.156626508</v>
      </c>
      <c r="B11" s="336" t="s">
        <v>851</v>
      </c>
      <c r="C11" s="337">
        <f>1.4*300000*2*2.2</f>
        <v>1848000.0000000002</v>
      </c>
      <c r="D11" s="337">
        <v>1000</v>
      </c>
      <c r="E11" s="407">
        <f t="shared" si="0"/>
        <v>1849000.0000000002</v>
      </c>
      <c r="F11" s="338"/>
      <c r="G11" s="585">
        <f t="shared" si="1"/>
        <v>0</v>
      </c>
      <c r="H11" s="585">
        <f t="shared" si="2"/>
        <v>154083.33333333334</v>
      </c>
      <c r="I11" s="585">
        <f t="shared" si="3"/>
        <v>172573.33333333337</v>
      </c>
      <c r="J11" s="585">
        <f t="shared" si="4"/>
        <v>0</v>
      </c>
      <c r="K11" s="339">
        <f t="shared" si="5"/>
        <v>2175656.666666667</v>
      </c>
      <c r="L11" s="586">
        <f t="shared" si="6"/>
        <v>478644.46666666673</v>
      </c>
      <c r="M11" s="586"/>
      <c r="N11" s="586">
        <f t="shared" si="7"/>
        <v>91377.580000000016</v>
      </c>
      <c r="O11" s="586">
        <f t="shared" si="8"/>
        <v>0</v>
      </c>
      <c r="P11" s="586">
        <f t="shared" si="9"/>
        <v>0</v>
      </c>
      <c r="Q11" s="586">
        <f t="shared" si="10"/>
        <v>0</v>
      </c>
      <c r="R11" s="586">
        <f t="shared" si="11"/>
        <v>0</v>
      </c>
      <c r="S11" s="586">
        <f t="shared" si="12"/>
        <v>1.3</v>
      </c>
      <c r="T11" s="586"/>
      <c r="U11" s="586">
        <f t="shared" si="13"/>
        <v>0</v>
      </c>
      <c r="V11" s="586">
        <f t="shared" si="14"/>
        <v>0</v>
      </c>
      <c r="W11" s="586">
        <f t="shared" si="15"/>
        <v>0</v>
      </c>
      <c r="X11" s="586">
        <f t="shared" si="16"/>
        <v>458.33333333333331</v>
      </c>
      <c r="Y11" s="586">
        <f t="shared" si="17"/>
        <v>0</v>
      </c>
      <c r="Z11" s="586">
        <f t="shared" si="18"/>
        <v>0.6</v>
      </c>
      <c r="AA11" s="586">
        <f t="shared" si="19"/>
        <v>458.33333333333331</v>
      </c>
      <c r="AB11" s="586">
        <f t="shared" si="20"/>
        <v>0</v>
      </c>
      <c r="AC11" s="586">
        <f t="shared" si="21"/>
        <v>0</v>
      </c>
      <c r="AD11" s="586">
        <f t="shared" si="22"/>
        <v>0</v>
      </c>
      <c r="AE11" s="586">
        <f t="shared" si="23"/>
        <v>108782.83333333336</v>
      </c>
      <c r="AF11" s="586">
        <f t="shared" si="24"/>
        <v>43513.133333333339</v>
      </c>
      <c r="AG11" s="586">
        <f t="shared" si="33"/>
        <v>232593.31144444449</v>
      </c>
      <c r="AH11" s="586">
        <f t="shared" si="25"/>
        <v>0</v>
      </c>
      <c r="AI11" s="340">
        <f t="shared" si="26"/>
        <v>3131486.5581111121</v>
      </c>
      <c r="AJ11" s="340">
        <f t="shared" si="27"/>
        <v>15657.43279055556</v>
      </c>
      <c r="AL11" s="586">
        <f t="shared" si="28"/>
        <v>1533840.0000000002</v>
      </c>
      <c r="AM11" s="586">
        <f t="shared" si="29"/>
        <v>0</v>
      </c>
      <c r="AN11" s="586">
        <f t="shared" si="30"/>
        <v>830</v>
      </c>
      <c r="AO11" s="341">
        <f t="shared" si="31"/>
        <v>1534670.0000000002</v>
      </c>
      <c r="AQ11" s="342">
        <f t="shared" si="32"/>
        <v>2.0404950628546277</v>
      </c>
    </row>
    <row r="12" spans="1:43" ht="39.9" customHeight="1" x14ac:dyDescent="0.25">
      <c r="B12" s="336" t="s">
        <v>405</v>
      </c>
      <c r="C12" s="337">
        <f>1.4*250000*2*1.5</f>
        <v>1050000</v>
      </c>
      <c r="D12" s="337">
        <v>1000</v>
      </c>
      <c r="E12" s="407">
        <f t="shared" si="0"/>
        <v>1051000</v>
      </c>
      <c r="F12" s="338"/>
      <c r="G12" s="585">
        <f t="shared" si="1"/>
        <v>0</v>
      </c>
      <c r="H12" s="585">
        <f t="shared" si="2"/>
        <v>87583.333333333328</v>
      </c>
      <c r="I12" s="585">
        <f t="shared" si="3"/>
        <v>98093.333333333328</v>
      </c>
      <c r="J12" s="585">
        <f t="shared" si="4"/>
        <v>0</v>
      </c>
      <c r="K12" s="339">
        <f t="shared" si="5"/>
        <v>1236676.6666666667</v>
      </c>
      <c r="L12" s="586">
        <f t="shared" si="6"/>
        <v>272068.8666666667</v>
      </c>
      <c r="M12" s="586"/>
      <c r="N12" s="586">
        <f t="shared" si="7"/>
        <v>51940.420000000006</v>
      </c>
      <c r="O12" s="586">
        <f t="shared" si="8"/>
        <v>0</v>
      </c>
      <c r="P12" s="586">
        <f t="shared" si="9"/>
        <v>0</v>
      </c>
      <c r="Q12" s="586">
        <f t="shared" si="10"/>
        <v>0</v>
      </c>
      <c r="R12" s="586">
        <f t="shared" si="11"/>
        <v>0</v>
      </c>
      <c r="S12" s="586">
        <f t="shared" si="12"/>
        <v>1.3</v>
      </c>
      <c r="T12" s="586"/>
      <c r="U12" s="586">
        <f t="shared" si="13"/>
        <v>0</v>
      </c>
      <c r="V12" s="586">
        <f t="shared" si="14"/>
        <v>0</v>
      </c>
      <c r="W12" s="586">
        <f t="shared" si="15"/>
        <v>0</v>
      </c>
      <c r="X12" s="586">
        <f t="shared" si="16"/>
        <v>458.33333333333331</v>
      </c>
      <c r="Y12" s="586">
        <f t="shared" si="17"/>
        <v>0</v>
      </c>
      <c r="Z12" s="586">
        <f t="shared" si="18"/>
        <v>0.6</v>
      </c>
      <c r="AA12" s="586">
        <f t="shared" si="19"/>
        <v>458.33333333333331</v>
      </c>
      <c r="AB12" s="586">
        <f t="shared" si="20"/>
        <v>0</v>
      </c>
      <c r="AC12" s="586">
        <f t="shared" si="21"/>
        <v>0</v>
      </c>
      <c r="AD12" s="586">
        <f t="shared" si="22"/>
        <v>0</v>
      </c>
      <c r="AE12" s="586">
        <f t="shared" si="23"/>
        <v>61833.833333333343</v>
      </c>
      <c r="AF12" s="586">
        <f t="shared" si="24"/>
        <v>24733.533333333336</v>
      </c>
      <c r="AG12" s="586">
        <f t="shared" si="33"/>
        <v>132209.61077777779</v>
      </c>
      <c r="AH12" s="586">
        <f t="shared" si="25"/>
        <v>0</v>
      </c>
      <c r="AI12" s="340">
        <f t="shared" si="26"/>
        <v>1780381.4974444446</v>
      </c>
      <c r="AJ12" s="340">
        <f t="shared" si="27"/>
        <v>8901.9074872222227</v>
      </c>
      <c r="AL12" s="586">
        <f t="shared" si="28"/>
        <v>871500</v>
      </c>
      <c r="AM12" s="586">
        <f t="shared" si="29"/>
        <v>0</v>
      </c>
      <c r="AN12" s="586">
        <f t="shared" si="30"/>
        <v>830</v>
      </c>
      <c r="AO12" s="341">
        <f t="shared" si="31"/>
        <v>872330</v>
      </c>
      <c r="AQ12" s="342">
        <f t="shared" si="32"/>
        <v>2.0409495230525656</v>
      </c>
    </row>
    <row r="13" spans="1:43" ht="39.9" customHeight="1" x14ac:dyDescent="0.25">
      <c r="B13" s="336" t="s">
        <v>406</v>
      </c>
      <c r="C13" s="337">
        <f>1.4*250000*2*1.5</f>
        <v>1050000</v>
      </c>
      <c r="D13" s="337">
        <v>1000</v>
      </c>
      <c r="E13" s="407">
        <f t="shared" si="0"/>
        <v>1051000</v>
      </c>
      <c r="F13" s="338"/>
      <c r="G13" s="585">
        <f t="shared" si="1"/>
        <v>0</v>
      </c>
      <c r="H13" s="585">
        <f t="shared" si="2"/>
        <v>87583.333333333328</v>
      </c>
      <c r="I13" s="585">
        <f t="shared" si="3"/>
        <v>98093.333333333328</v>
      </c>
      <c r="J13" s="585">
        <f t="shared" si="4"/>
        <v>0</v>
      </c>
      <c r="K13" s="339">
        <f t="shared" si="5"/>
        <v>1236676.6666666667</v>
      </c>
      <c r="L13" s="586">
        <f t="shared" si="6"/>
        <v>272068.8666666667</v>
      </c>
      <c r="M13" s="586"/>
      <c r="N13" s="586">
        <f t="shared" si="7"/>
        <v>51940.420000000006</v>
      </c>
      <c r="O13" s="586">
        <f t="shared" si="8"/>
        <v>0</v>
      </c>
      <c r="P13" s="586">
        <f t="shared" si="9"/>
        <v>0</v>
      </c>
      <c r="Q13" s="586">
        <f t="shared" si="10"/>
        <v>0</v>
      </c>
      <c r="R13" s="586">
        <f t="shared" si="11"/>
        <v>0</v>
      </c>
      <c r="S13" s="586">
        <f t="shared" si="12"/>
        <v>1.3</v>
      </c>
      <c r="T13" s="586"/>
      <c r="U13" s="586">
        <f t="shared" si="13"/>
        <v>0</v>
      </c>
      <c r="V13" s="586">
        <f t="shared" si="14"/>
        <v>0</v>
      </c>
      <c r="W13" s="586">
        <f t="shared" si="15"/>
        <v>0</v>
      </c>
      <c r="X13" s="586">
        <f t="shared" si="16"/>
        <v>458.33333333333331</v>
      </c>
      <c r="Y13" s="586">
        <f t="shared" si="17"/>
        <v>0</v>
      </c>
      <c r="Z13" s="586">
        <f t="shared" si="18"/>
        <v>0.6</v>
      </c>
      <c r="AA13" s="586">
        <f t="shared" si="19"/>
        <v>458.33333333333331</v>
      </c>
      <c r="AB13" s="586">
        <f t="shared" si="20"/>
        <v>0</v>
      </c>
      <c r="AC13" s="586">
        <f t="shared" si="21"/>
        <v>0</v>
      </c>
      <c r="AD13" s="586">
        <f t="shared" si="22"/>
        <v>0</v>
      </c>
      <c r="AE13" s="586">
        <f t="shared" si="23"/>
        <v>61833.833333333343</v>
      </c>
      <c r="AF13" s="586">
        <f t="shared" si="24"/>
        <v>24733.533333333336</v>
      </c>
      <c r="AG13" s="586">
        <f t="shared" si="33"/>
        <v>132209.61077777779</v>
      </c>
      <c r="AH13" s="586">
        <f t="shared" si="25"/>
        <v>0</v>
      </c>
      <c r="AI13" s="340">
        <f t="shared" si="26"/>
        <v>1780381.4974444446</v>
      </c>
      <c r="AJ13" s="340">
        <f t="shared" si="27"/>
        <v>8901.9074872222227</v>
      </c>
      <c r="AL13" s="586">
        <f t="shared" si="28"/>
        <v>871500</v>
      </c>
      <c r="AM13" s="586">
        <f t="shared" si="29"/>
        <v>0</v>
      </c>
      <c r="AN13" s="586">
        <f t="shared" si="30"/>
        <v>830</v>
      </c>
      <c r="AO13" s="341">
        <f t="shared" si="31"/>
        <v>872330</v>
      </c>
      <c r="AQ13" s="342">
        <f t="shared" si="32"/>
        <v>2.0409495230525656</v>
      </c>
    </row>
    <row r="14" spans="1:43" ht="39.9" customHeight="1" x14ac:dyDescent="0.25">
      <c r="B14" s="336" t="s">
        <v>407</v>
      </c>
      <c r="C14" s="337">
        <f>1.4*250000*2*1.5</f>
        <v>1050000</v>
      </c>
      <c r="D14" s="337">
        <v>1000</v>
      </c>
      <c r="E14" s="407">
        <f t="shared" si="0"/>
        <v>1051000</v>
      </c>
      <c r="F14" s="338"/>
      <c r="G14" s="585">
        <f t="shared" si="1"/>
        <v>0</v>
      </c>
      <c r="H14" s="585">
        <f t="shared" si="2"/>
        <v>87583.333333333328</v>
      </c>
      <c r="I14" s="585">
        <f t="shared" si="3"/>
        <v>98093.333333333328</v>
      </c>
      <c r="J14" s="585">
        <f t="shared" si="4"/>
        <v>0</v>
      </c>
      <c r="K14" s="339">
        <f t="shared" si="5"/>
        <v>1236676.6666666667</v>
      </c>
      <c r="L14" s="586">
        <f t="shared" si="6"/>
        <v>272068.8666666667</v>
      </c>
      <c r="M14" s="586"/>
      <c r="N14" s="586">
        <f t="shared" si="7"/>
        <v>51940.420000000006</v>
      </c>
      <c r="O14" s="586">
        <f t="shared" si="8"/>
        <v>0</v>
      </c>
      <c r="P14" s="586">
        <f t="shared" si="9"/>
        <v>0</v>
      </c>
      <c r="Q14" s="586">
        <f t="shared" si="10"/>
        <v>0</v>
      </c>
      <c r="R14" s="586">
        <f t="shared" si="11"/>
        <v>0</v>
      </c>
      <c r="S14" s="586">
        <f t="shared" si="12"/>
        <v>1.3</v>
      </c>
      <c r="T14" s="586"/>
      <c r="U14" s="586">
        <f t="shared" si="13"/>
        <v>0</v>
      </c>
      <c r="V14" s="586">
        <f t="shared" si="14"/>
        <v>0</v>
      </c>
      <c r="W14" s="586">
        <f t="shared" si="15"/>
        <v>0</v>
      </c>
      <c r="X14" s="586">
        <f t="shared" si="16"/>
        <v>458.33333333333331</v>
      </c>
      <c r="Y14" s="586">
        <f t="shared" si="17"/>
        <v>0</v>
      </c>
      <c r="Z14" s="586">
        <f t="shared" si="18"/>
        <v>0.6</v>
      </c>
      <c r="AA14" s="586">
        <f t="shared" si="19"/>
        <v>458.33333333333331</v>
      </c>
      <c r="AB14" s="586">
        <f t="shared" si="20"/>
        <v>0</v>
      </c>
      <c r="AC14" s="586">
        <f t="shared" si="21"/>
        <v>0</v>
      </c>
      <c r="AD14" s="586">
        <f t="shared" si="22"/>
        <v>0</v>
      </c>
      <c r="AE14" s="586">
        <f t="shared" si="23"/>
        <v>61833.833333333343</v>
      </c>
      <c r="AF14" s="586">
        <f t="shared" si="24"/>
        <v>24733.533333333336</v>
      </c>
      <c r="AG14" s="586">
        <f t="shared" si="33"/>
        <v>132209.61077777779</v>
      </c>
      <c r="AH14" s="586">
        <f t="shared" si="25"/>
        <v>0</v>
      </c>
      <c r="AI14" s="340">
        <f t="shared" si="26"/>
        <v>1780381.4974444446</v>
      </c>
      <c r="AJ14" s="340">
        <f t="shared" si="27"/>
        <v>8901.9074872222227</v>
      </c>
      <c r="AL14" s="586">
        <f t="shared" si="28"/>
        <v>871500</v>
      </c>
      <c r="AM14" s="586">
        <f t="shared" si="29"/>
        <v>0</v>
      </c>
      <c r="AN14" s="586">
        <f t="shared" si="30"/>
        <v>830</v>
      </c>
      <c r="AO14" s="341">
        <f t="shared" si="31"/>
        <v>872330</v>
      </c>
      <c r="AQ14" s="342">
        <f t="shared" si="32"/>
        <v>2.0409495230525656</v>
      </c>
    </row>
    <row r="15" spans="1:43" ht="39.9" customHeight="1" x14ac:dyDescent="0.25">
      <c r="B15" s="336" t="s">
        <v>408</v>
      </c>
      <c r="C15" s="337">
        <f>1.4*250000*2*1.5</f>
        <v>1050000</v>
      </c>
      <c r="D15" s="337">
        <v>1000</v>
      </c>
      <c r="E15" s="407">
        <f t="shared" si="0"/>
        <v>1051000</v>
      </c>
      <c r="F15" s="338"/>
      <c r="G15" s="585">
        <f t="shared" si="1"/>
        <v>0</v>
      </c>
      <c r="H15" s="585">
        <f t="shared" si="2"/>
        <v>87583.333333333328</v>
      </c>
      <c r="I15" s="585">
        <f t="shared" si="3"/>
        <v>98093.333333333328</v>
      </c>
      <c r="J15" s="585">
        <f t="shared" si="4"/>
        <v>0</v>
      </c>
      <c r="K15" s="339">
        <f t="shared" si="5"/>
        <v>1236676.6666666667</v>
      </c>
      <c r="L15" s="586">
        <f t="shared" si="6"/>
        <v>272068.8666666667</v>
      </c>
      <c r="M15" s="586"/>
      <c r="N15" s="586">
        <f t="shared" si="7"/>
        <v>51940.420000000006</v>
      </c>
      <c r="O15" s="586">
        <f t="shared" si="8"/>
        <v>0</v>
      </c>
      <c r="P15" s="586">
        <f t="shared" si="9"/>
        <v>0</v>
      </c>
      <c r="Q15" s="586">
        <f t="shared" si="10"/>
        <v>0</v>
      </c>
      <c r="R15" s="586">
        <f t="shared" si="11"/>
        <v>0</v>
      </c>
      <c r="S15" s="586">
        <f t="shared" si="12"/>
        <v>1.3</v>
      </c>
      <c r="T15" s="586"/>
      <c r="U15" s="586">
        <f t="shared" si="13"/>
        <v>0</v>
      </c>
      <c r="V15" s="586">
        <f t="shared" si="14"/>
        <v>0</v>
      </c>
      <c r="W15" s="586">
        <f t="shared" si="15"/>
        <v>0</v>
      </c>
      <c r="X15" s="586">
        <f t="shared" si="16"/>
        <v>458.33333333333331</v>
      </c>
      <c r="Y15" s="586">
        <f t="shared" si="17"/>
        <v>0</v>
      </c>
      <c r="Z15" s="586">
        <f t="shared" si="18"/>
        <v>0.6</v>
      </c>
      <c r="AA15" s="586">
        <f t="shared" si="19"/>
        <v>458.33333333333331</v>
      </c>
      <c r="AB15" s="586">
        <f t="shared" si="20"/>
        <v>0</v>
      </c>
      <c r="AC15" s="586">
        <f t="shared" si="21"/>
        <v>0</v>
      </c>
      <c r="AD15" s="586">
        <f t="shared" si="22"/>
        <v>0</v>
      </c>
      <c r="AE15" s="586">
        <f t="shared" si="23"/>
        <v>61833.833333333343</v>
      </c>
      <c r="AF15" s="586">
        <f t="shared" si="24"/>
        <v>24733.533333333336</v>
      </c>
      <c r="AG15" s="586">
        <f t="shared" si="33"/>
        <v>132209.61077777779</v>
      </c>
      <c r="AH15" s="586">
        <f t="shared" si="25"/>
        <v>0</v>
      </c>
      <c r="AI15" s="340">
        <f t="shared" si="26"/>
        <v>1780381.4974444446</v>
      </c>
      <c r="AJ15" s="340">
        <f t="shared" si="27"/>
        <v>8901.9074872222227</v>
      </c>
      <c r="AL15" s="586">
        <f t="shared" si="28"/>
        <v>871500</v>
      </c>
      <c r="AM15" s="586">
        <f t="shared" si="29"/>
        <v>0</v>
      </c>
      <c r="AN15" s="586">
        <f t="shared" si="30"/>
        <v>830</v>
      </c>
      <c r="AO15" s="341">
        <f t="shared" si="31"/>
        <v>872330</v>
      </c>
      <c r="AQ15" s="342">
        <f t="shared" si="32"/>
        <v>2.0409495230525656</v>
      </c>
    </row>
    <row r="16" spans="1:43" ht="39.9" customHeight="1" x14ac:dyDescent="0.25">
      <c r="B16" s="336"/>
      <c r="C16" s="337"/>
      <c r="D16" s="337"/>
      <c r="E16" s="407"/>
      <c r="F16" s="338"/>
      <c r="G16" s="585"/>
      <c r="H16" s="585"/>
      <c r="I16" s="585"/>
      <c r="J16" s="585"/>
      <c r="K16" s="339"/>
      <c r="L16" s="586"/>
      <c r="M16" s="586"/>
      <c r="N16" s="586"/>
      <c r="O16" s="586"/>
      <c r="P16" s="586"/>
      <c r="Q16" s="586"/>
      <c r="R16" s="586"/>
      <c r="S16" s="586"/>
      <c r="T16" s="586"/>
      <c r="U16" s="586"/>
      <c r="V16" s="586"/>
      <c r="W16" s="586"/>
      <c r="X16" s="586"/>
      <c r="Y16" s="586"/>
      <c r="Z16" s="586"/>
      <c r="AA16" s="586"/>
      <c r="AB16" s="586"/>
      <c r="AC16" s="586"/>
      <c r="AD16" s="586"/>
      <c r="AE16" s="586"/>
      <c r="AF16" s="586"/>
      <c r="AG16" s="586"/>
      <c r="AH16" s="586"/>
      <c r="AI16" s="340"/>
      <c r="AJ16" s="340"/>
      <c r="AL16" s="586"/>
      <c r="AM16" s="586"/>
      <c r="AN16" s="586"/>
      <c r="AO16" s="341"/>
      <c r="AQ16" s="342"/>
    </row>
    <row r="17" spans="2:43" ht="39.9" customHeight="1" x14ac:dyDescent="0.25">
      <c r="B17" s="336"/>
      <c r="C17" s="337"/>
      <c r="D17" s="337"/>
      <c r="E17" s="407"/>
      <c r="F17" s="338"/>
      <c r="G17" s="585"/>
      <c r="H17" s="585"/>
      <c r="I17" s="585"/>
      <c r="J17" s="585"/>
      <c r="K17" s="339"/>
      <c r="L17" s="586"/>
      <c r="M17" s="586"/>
      <c r="N17" s="586"/>
      <c r="O17" s="586"/>
      <c r="P17" s="586"/>
      <c r="Q17" s="586"/>
      <c r="R17" s="586"/>
      <c r="S17" s="586"/>
      <c r="T17" s="586"/>
      <c r="U17" s="586"/>
      <c r="V17" s="586"/>
      <c r="W17" s="586"/>
      <c r="X17" s="586"/>
      <c r="Y17" s="586"/>
      <c r="Z17" s="586"/>
      <c r="AA17" s="586"/>
      <c r="AB17" s="586"/>
      <c r="AC17" s="586"/>
      <c r="AD17" s="586"/>
      <c r="AE17" s="586"/>
      <c r="AF17" s="586"/>
      <c r="AG17" s="586"/>
      <c r="AH17" s="586"/>
      <c r="AI17" s="340"/>
      <c r="AJ17" s="340"/>
      <c r="AL17" s="586"/>
      <c r="AM17" s="586"/>
      <c r="AN17" s="586"/>
      <c r="AO17" s="341"/>
      <c r="AQ17" s="342"/>
    </row>
    <row r="18" spans="2:43" ht="15.6" x14ac:dyDescent="0.25">
      <c r="B18" s="450"/>
      <c r="C18" s="451"/>
      <c r="D18" s="451"/>
      <c r="E18" s="452"/>
    </row>
    <row r="19" spans="2:43" ht="15.6" x14ac:dyDescent="0.25">
      <c r="B19" s="450"/>
      <c r="C19" s="451"/>
      <c r="D19" s="451"/>
      <c r="E19" s="452"/>
    </row>
    <row r="20" spans="2:43" ht="15.6" x14ac:dyDescent="0.25">
      <c r="B20" s="450"/>
      <c r="C20" s="451"/>
      <c r="D20" s="451"/>
      <c r="E20" s="452"/>
    </row>
    <row r="21" spans="2:43" ht="15.6" x14ac:dyDescent="0.25">
      <c r="B21" s="450"/>
      <c r="C21" s="451"/>
      <c r="D21" s="451"/>
      <c r="E21" s="452"/>
    </row>
    <row r="23" spans="2:43" ht="15.6" x14ac:dyDescent="0.3">
      <c r="B23" s="193"/>
      <c r="C23" s="587"/>
      <c r="D23" s="587"/>
      <c r="E23" s="452"/>
    </row>
    <row r="24" spans="2:43" ht="15.6" x14ac:dyDescent="0.3">
      <c r="B24" s="193"/>
      <c r="C24" s="587"/>
      <c r="D24" s="587"/>
      <c r="E24" s="452"/>
    </row>
    <row r="27" spans="2:43" x14ac:dyDescent="0.25">
      <c r="C27" s="777"/>
      <c r="D27" s="777"/>
      <c r="E27" s="777"/>
      <c r="F27" s="62"/>
      <c r="G27" s="777"/>
      <c r="H27" s="777"/>
      <c r="I27" s="777"/>
      <c r="J27" s="777"/>
    </row>
    <row r="28" spans="2:43" x14ac:dyDescent="0.25">
      <c r="C28" s="28"/>
      <c r="D28" s="28"/>
      <c r="E28" s="28"/>
      <c r="F28" s="28"/>
      <c r="G28" s="28"/>
      <c r="H28" s="28"/>
      <c r="I28" s="28"/>
      <c r="J28" s="28"/>
      <c r="K28" s="28"/>
    </row>
    <row r="29" spans="2:43" x14ac:dyDescent="0.25">
      <c r="B29" s="450"/>
      <c r="C29" s="96"/>
      <c r="D29" s="96"/>
      <c r="E29" s="96"/>
      <c r="G29" s="423"/>
      <c r="H29" s="423"/>
      <c r="I29" s="423"/>
      <c r="J29" s="423"/>
      <c r="K29" s="96"/>
    </row>
    <row r="30" spans="2:43" x14ac:dyDescent="0.25">
      <c r="B30" s="450"/>
      <c r="C30" s="96"/>
      <c r="D30" s="96"/>
      <c r="E30" s="96"/>
      <c r="G30" s="423"/>
      <c r="H30" s="423"/>
      <c r="I30" s="423"/>
      <c r="J30" s="423"/>
      <c r="K30" s="96"/>
    </row>
    <row r="31" spans="2:43" x14ac:dyDescent="0.25">
      <c r="B31" s="450"/>
      <c r="C31" s="96"/>
      <c r="D31" s="96"/>
      <c r="E31" s="96"/>
      <c r="G31" s="423"/>
      <c r="H31" s="423"/>
      <c r="I31" s="423"/>
      <c r="J31" s="423"/>
      <c r="K31" s="96"/>
    </row>
    <row r="32" spans="2:43" x14ac:dyDescent="0.25">
      <c r="B32" s="450"/>
      <c r="C32" s="96"/>
      <c r="D32" s="96"/>
      <c r="E32" s="96"/>
      <c r="G32" s="423"/>
      <c r="H32" s="423"/>
      <c r="I32" s="423"/>
      <c r="J32" s="423"/>
      <c r="K32" s="96"/>
    </row>
    <row r="33" spans="2:13" x14ac:dyDescent="0.25">
      <c r="B33" s="450"/>
      <c r="C33" s="96"/>
      <c r="D33" s="96"/>
      <c r="E33" s="96"/>
      <c r="G33" s="423"/>
      <c r="H33" s="423"/>
      <c r="I33" s="423"/>
      <c r="J33" s="423"/>
      <c r="K33" s="96"/>
    </row>
    <row r="34" spans="2:13" x14ac:dyDescent="0.25">
      <c r="B34" s="450"/>
      <c r="C34" s="96"/>
      <c r="D34" s="96"/>
      <c r="E34" s="96"/>
      <c r="G34" s="423"/>
      <c r="H34" s="423"/>
      <c r="I34" s="423"/>
      <c r="J34" s="423"/>
      <c r="K34" s="96"/>
    </row>
    <row r="35" spans="2:13" x14ac:dyDescent="0.25">
      <c r="B35" s="450"/>
      <c r="C35" s="96"/>
      <c r="D35" s="96"/>
      <c r="E35" s="96"/>
      <c r="G35" s="423"/>
      <c r="H35" s="423"/>
      <c r="I35" s="423"/>
      <c r="J35" s="423"/>
      <c r="K35" s="96"/>
    </row>
    <row r="36" spans="2:13" x14ac:dyDescent="0.25">
      <c r="B36" s="450"/>
      <c r="C36" s="96"/>
      <c r="D36" s="96"/>
      <c r="E36" s="96"/>
      <c r="G36" s="423"/>
      <c r="H36" s="423"/>
      <c r="I36" s="423"/>
      <c r="J36" s="423"/>
      <c r="K36" s="96"/>
    </row>
    <row r="37" spans="2:13" x14ac:dyDescent="0.25">
      <c r="B37" s="450"/>
      <c r="C37" s="96"/>
      <c r="D37" s="96"/>
      <c r="E37" s="96"/>
      <c r="G37" s="423"/>
      <c r="H37" s="423"/>
      <c r="I37" s="423"/>
      <c r="J37" s="423"/>
      <c r="K37" s="96"/>
    </row>
    <row r="38" spans="2:13" x14ac:dyDescent="0.25">
      <c r="B38" s="450"/>
      <c r="C38" s="96"/>
      <c r="D38" s="96"/>
      <c r="E38" s="96"/>
      <c r="G38" s="423"/>
      <c r="H38" s="423"/>
      <c r="I38" s="423"/>
      <c r="J38" s="423"/>
      <c r="K38" s="96"/>
    </row>
    <row r="39" spans="2:13" x14ac:dyDescent="0.25">
      <c r="K39" s="422"/>
    </row>
    <row r="40" spans="2:13" x14ac:dyDescent="0.25">
      <c r="D40" s="28"/>
    </row>
    <row r="41" spans="2:13" x14ac:dyDescent="0.25">
      <c r="D41" s="96"/>
      <c r="K41" s="422"/>
    </row>
    <row r="42" spans="2:13" x14ac:dyDescent="0.25">
      <c r="D42" s="96"/>
    </row>
    <row r="43" spans="2:13" ht="16.8" x14ac:dyDescent="0.55000000000000004">
      <c r="D43" s="96"/>
      <c r="K43" s="453"/>
    </row>
    <row r="44" spans="2:13" x14ac:dyDescent="0.25">
      <c r="D44" s="96"/>
    </row>
    <row r="45" spans="2:13" x14ac:dyDescent="0.25">
      <c r="D45" s="96"/>
    </row>
    <row r="47" spans="2:13" x14ac:dyDescent="0.25">
      <c r="D47" s="422"/>
      <c r="M47" s="454"/>
    </row>
    <row r="49" spans="2:43" ht="39.75" customHeight="1" x14ac:dyDescent="0.25">
      <c r="B49" s="450"/>
      <c r="C49" s="452"/>
      <c r="D49" s="452"/>
      <c r="E49" s="455"/>
      <c r="F49" s="452"/>
      <c r="G49" s="588"/>
      <c r="H49" s="588"/>
      <c r="I49" s="588"/>
      <c r="J49" s="588"/>
      <c r="K49" s="452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9"/>
      <c r="AA49" s="589"/>
      <c r="AB49" s="589"/>
      <c r="AC49" s="589"/>
      <c r="AD49" s="589"/>
      <c r="AE49" s="589"/>
      <c r="AF49" s="589"/>
      <c r="AG49" s="589"/>
      <c r="AH49" s="589"/>
      <c r="AI49" s="456"/>
      <c r="AJ49" s="456"/>
      <c r="AL49" s="589"/>
      <c r="AM49" s="589"/>
      <c r="AN49" s="589"/>
      <c r="AO49" s="449"/>
      <c r="AQ49" s="457"/>
    </row>
  </sheetData>
  <mergeCells count="16">
    <mergeCell ref="AO6:AO7"/>
    <mergeCell ref="AQ6:AQ7"/>
    <mergeCell ref="AN6:AN7"/>
    <mergeCell ref="AI6:AI7"/>
    <mergeCell ref="H6:H7"/>
    <mergeCell ref="K6:K7"/>
    <mergeCell ref="P6:P7"/>
    <mergeCell ref="AL6:AL7"/>
    <mergeCell ref="AM6:AM7"/>
    <mergeCell ref="C27:E27"/>
    <mergeCell ref="G27:J27"/>
    <mergeCell ref="B6:B7"/>
    <mergeCell ref="C6:C7"/>
    <mergeCell ref="D6:D7"/>
    <mergeCell ref="F6:F7"/>
    <mergeCell ref="E6:E7"/>
  </mergeCells>
  <phoneticPr fontId="0" type="noConversion"/>
  <pageMargins left="0.42" right="0.75" top="0.81" bottom="1" header="0" footer="0"/>
  <pageSetup paperSize="9" scale="26" orientation="landscape" horizontalDpi="4294967293" verticalDpi="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52"/>
  <sheetViews>
    <sheetView view="pageBreakPreview" topLeftCell="A42" zoomScale="75" zoomScaleNormal="75" zoomScaleSheetLayoutView="100" workbookViewId="0">
      <selection activeCell="B4" sqref="B4"/>
    </sheetView>
  </sheetViews>
  <sheetFormatPr baseColWidth="10" defaultColWidth="11.44140625" defaultRowHeight="13.2" x14ac:dyDescent="0.25"/>
  <cols>
    <col min="1" max="1" width="11.44140625" style="4"/>
    <col min="2" max="2" width="23.109375" style="13" bestFit="1" customWidth="1"/>
    <col min="3" max="3" width="66.6640625" style="40" bestFit="1" customWidth="1"/>
    <col min="4" max="4" width="15.6640625" style="13" customWidth="1"/>
    <col min="5" max="5" width="4.6640625" style="13" bestFit="1" customWidth="1"/>
    <col min="6" max="6" width="15.33203125" style="4" customWidth="1"/>
    <col min="7" max="7" width="23.44140625" style="4" bestFit="1" customWidth="1"/>
    <col min="8" max="16384" width="11.44140625" style="4"/>
  </cols>
  <sheetData>
    <row r="1" spans="2:10" ht="30" customHeight="1" x14ac:dyDescent="0.4">
      <c r="B1" s="192"/>
      <c r="C1" s="613" t="s">
        <v>409</v>
      </c>
      <c r="D1" s="613"/>
      <c r="E1" s="613"/>
      <c r="F1" s="613"/>
      <c r="G1" s="31"/>
    </row>
    <row r="2" spans="2:10" ht="8.25" customHeight="1" x14ac:dyDescent="0.4">
      <c r="B2" s="207"/>
      <c r="C2" s="205"/>
      <c r="D2" s="205"/>
      <c r="E2" s="205"/>
      <c r="F2" s="205"/>
      <c r="G2" s="19"/>
    </row>
    <row r="3" spans="2:10" x14ac:dyDescent="0.25">
      <c r="B3" s="590" t="s">
        <v>54</v>
      </c>
      <c r="C3" s="559" t="str">
        <f>'Sintesis Economica'!C2</f>
        <v>PAMPA</v>
      </c>
      <c r="D3" s="559"/>
      <c r="E3" s="559"/>
      <c r="F3" s="3" t="s">
        <v>113</v>
      </c>
      <c r="G3" s="19" t="str">
        <f>'Sintesis Economica'!J2</f>
        <v>SHM</v>
      </c>
    </row>
    <row r="4" spans="2:10" x14ac:dyDescent="0.25">
      <c r="B4" s="590" t="s">
        <v>114</v>
      </c>
      <c r="C4" s="559" t="str">
        <f>'Sintesis Economica'!C3</f>
        <v>PAMPA SERVICIOS MENORES CIVILES</v>
      </c>
      <c r="D4" s="559"/>
      <c r="E4" s="559"/>
      <c r="F4" s="3" t="s">
        <v>115</v>
      </c>
      <c r="G4" s="19" t="str">
        <f>'Sintesis Economica'!J3</f>
        <v>SHM</v>
      </c>
    </row>
    <row r="5" spans="2:10" x14ac:dyDescent="0.25">
      <c r="B5" s="590" t="s">
        <v>231</v>
      </c>
      <c r="C5" s="559" t="str">
        <f>'Sintesis Economica'!C5</f>
        <v>Nº LICITACIÓN: SIN</v>
      </c>
      <c r="D5" s="559"/>
      <c r="E5" s="559"/>
      <c r="F5" s="3" t="s">
        <v>58</v>
      </c>
      <c r="G5" s="19">
        <f>'Sintesis Economica'!J4</f>
        <v>0</v>
      </c>
    </row>
    <row r="6" spans="2:10" ht="13.8" thickBot="1" x14ac:dyDescent="0.3">
      <c r="B6" s="591" t="s">
        <v>61</v>
      </c>
      <c r="C6" s="561" t="str">
        <f>'Sintesis Economica'!C6</f>
        <v>PRE-ARG-1340</v>
      </c>
      <c r="D6" s="562"/>
      <c r="E6" s="562"/>
      <c r="F6" s="22"/>
      <c r="G6" s="23"/>
    </row>
    <row r="7" spans="2:10" s="14" customFormat="1" ht="37.5" customHeight="1" thickBot="1" x14ac:dyDescent="0.35">
      <c r="B7" s="32"/>
      <c r="C7" s="33" t="s">
        <v>410</v>
      </c>
      <c r="D7" s="33"/>
      <c r="E7" s="33"/>
      <c r="F7" s="17"/>
      <c r="G7" s="41">
        <f>+G20+G33+G39+G51</f>
        <v>0</v>
      </c>
      <c r="I7" s="116"/>
      <c r="J7" s="116"/>
    </row>
    <row r="8" spans="2:10" s="14" customFormat="1" ht="15.75" customHeight="1" x14ac:dyDescent="0.25">
      <c r="B8" s="800" t="s">
        <v>411</v>
      </c>
      <c r="C8" s="801"/>
      <c r="D8" s="801"/>
      <c r="E8" s="801"/>
      <c r="F8" s="801"/>
      <c r="G8" s="802"/>
    </row>
    <row r="9" spans="2:10" s="14" customFormat="1" ht="35.1" customHeight="1" x14ac:dyDescent="0.25">
      <c r="B9" s="34" t="s">
        <v>412</v>
      </c>
      <c r="C9" s="35" t="s">
        <v>18</v>
      </c>
      <c r="D9" s="60" t="s">
        <v>413</v>
      </c>
      <c r="E9" s="60" t="s">
        <v>414</v>
      </c>
      <c r="F9" s="60" t="s">
        <v>415</v>
      </c>
      <c r="G9" s="61" t="s">
        <v>416</v>
      </c>
    </row>
    <row r="10" spans="2:10" s="14" customFormat="1" ht="18" customHeight="1" x14ac:dyDescent="0.25">
      <c r="B10" s="15" t="s">
        <v>417</v>
      </c>
      <c r="C10" s="592"/>
      <c r="D10" s="593"/>
      <c r="E10" s="593"/>
      <c r="F10" s="216"/>
      <c r="G10" s="176">
        <f t="shared" ref="G10:G19" si="0">+F10*D10</f>
        <v>0</v>
      </c>
    </row>
    <row r="11" spans="2:10" s="14" customFormat="1" ht="18" customHeight="1" x14ac:dyDescent="0.25">
      <c r="B11" s="15" t="s">
        <v>418</v>
      </c>
      <c r="C11" s="592"/>
      <c r="D11" s="593"/>
      <c r="E11" s="593"/>
      <c r="F11" s="216"/>
      <c r="G11" s="176">
        <f t="shared" si="0"/>
        <v>0</v>
      </c>
    </row>
    <row r="12" spans="2:10" s="14" customFormat="1" ht="18" customHeight="1" x14ac:dyDescent="0.25">
      <c r="B12" s="15" t="s">
        <v>419</v>
      </c>
      <c r="C12" s="592"/>
      <c r="D12" s="593"/>
      <c r="E12" s="593"/>
      <c r="F12" s="216"/>
      <c r="G12" s="176">
        <f t="shared" si="0"/>
        <v>0</v>
      </c>
    </row>
    <row r="13" spans="2:10" s="14" customFormat="1" ht="18" customHeight="1" x14ac:dyDescent="0.25">
      <c r="B13" s="15" t="s">
        <v>420</v>
      </c>
      <c r="C13" s="592"/>
      <c r="D13" s="593"/>
      <c r="E13" s="593"/>
      <c r="F13" s="216"/>
      <c r="G13" s="176">
        <f t="shared" si="0"/>
        <v>0</v>
      </c>
    </row>
    <row r="14" spans="2:10" s="14" customFormat="1" ht="18" customHeight="1" x14ac:dyDescent="0.25">
      <c r="B14" s="15" t="s">
        <v>421</v>
      </c>
      <c r="C14" s="592"/>
      <c r="D14" s="593"/>
      <c r="E14" s="593"/>
      <c r="F14" s="216"/>
      <c r="G14" s="176">
        <f t="shared" si="0"/>
        <v>0</v>
      </c>
    </row>
    <row r="15" spans="2:10" s="14" customFormat="1" ht="18" customHeight="1" x14ac:dyDescent="0.25">
      <c r="B15" s="15" t="s">
        <v>422</v>
      </c>
      <c r="C15" s="592"/>
      <c r="D15" s="213"/>
      <c r="E15" s="216"/>
      <c r="F15" s="216"/>
      <c r="G15" s="176">
        <f t="shared" si="0"/>
        <v>0</v>
      </c>
    </row>
    <row r="16" spans="2:10" s="14" customFormat="1" ht="18" customHeight="1" x14ac:dyDescent="0.25">
      <c r="B16" s="15" t="s">
        <v>423</v>
      </c>
      <c r="C16" s="592"/>
      <c r="D16" s="213"/>
      <c r="E16" s="216"/>
      <c r="F16" s="216"/>
      <c r="G16" s="176">
        <f t="shared" si="0"/>
        <v>0</v>
      </c>
    </row>
    <row r="17" spans="2:7" s="14" customFormat="1" ht="18" customHeight="1" x14ac:dyDescent="0.25">
      <c r="B17" s="15" t="s">
        <v>424</v>
      </c>
      <c r="C17" s="592"/>
      <c r="D17" s="213"/>
      <c r="E17" s="216"/>
      <c r="F17" s="216"/>
      <c r="G17" s="176">
        <f t="shared" si="0"/>
        <v>0</v>
      </c>
    </row>
    <row r="18" spans="2:7" s="14" customFormat="1" ht="18" customHeight="1" x14ac:dyDescent="0.25">
      <c r="B18" s="15" t="s">
        <v>425</v>
      </c>
      <c r="C18" s="592"/>
      <c r="D18" s="213"/>
      <c r="E18" s="216"/>
      <c r="F18" s="216"/>
      <c r="G18" s="176">
        <f t="shared" si="0"/>
        <v>0</v>
      </c>
    </row>
    <row r="19" spans="2:7" s="14" customFormat="1" ht="18" customHeight="1" thickBot="1" x14ac:dyDescent="0.3">
      <c r="B19" s="15" t="s">
        <v>426</v>
      </c>
      <c r="C19" s="594"/>
      <c r="D19" s="593"/>
      <c r="E19" s="593"/>
      <c r="F19" s="218"/>
      <c r="G19" s="176">
        <f t="shared" si="0"/>
        <v>0</v>
      </c>
    </row>
    <row r="20" spans="2:7" s="14" customFormat="1" ht="18" customHeight="1" thickBot="1" x14ac:dyDescent="0.35">
      <c r="B20" s="803" t="s">
        <v>427</v>
      </c>
      <c r="C20" s="804"/>
      <c r="D20" s="804"/>
      <c r="E20" s="804"/>
      <c r="F20" s="68"/>
      <c r="G20" s="119">
        <f>SUM(G10:G19)</f>
        <v>0</v>
      </c>
    </row>
    <row r="21" spans="2:7" s="14" customFormat="1" ht="18" customHeight="1" x14ac:dyDescent="0.25">
      <c r="B21" s="39"/>
      <c r="C21" s="805" t="s">
        <v>428</v>
      </c>
      <c r="D21" s="805"/>
      <c r="E21" s="805"/>
      <c r="F21" s="805"/>
      <c r="G21" s="806"/>
    </row>
    <row r="22" spans="2:7" s="14" customFormat="1" ht="35.1" customHeight="1" x14ac:dyDescent="0.25">
      <c r="B22" s="15" t="s">
        <v>412</v>
      </c>
      <c r="C22" s="35" t="s">
        <v>18</v>
      </c>
      <c r="D22" s="35" t="s">
        <v>413</v>
      </c>
      <c r="E22" s="35" t="s">
        <v>414</v>
      </c>
      <c r="F22" s="35" t="s">
        <v>415</v>
      </c>
      <c r="G22" s="36" t="s">
        <v>416</v>
      </c>
    </row>
    <row r="23" spans="2:7" s="14" customFormat="1" ht="18" customHeight="1" x14ac:dyDescent="0.25">
      <c r="B23" s="15" t="s">
        <v>429</v>
      </c>
      <c r="C23" s="219"/>
      <c r="D23" s="220"/>
      <c r="E23" s="220"/>
      <c r="F23" s="218"/>
      <c r="G23" s="177">
        <f>+F23*D23</f>
        <v>0</v>
      </c>
    </row>
    <row r="24" spans="2:7" s="14" customFormat="1" ht="18" customHeight="1" x14ac:dyDescent="0.25">
      <c r="B24" s="15" t="s">
        <v>430</v>
      </c>
      <c r="C24" s="219"/>
      <c r="D24" s="221"/>
      <c r="E24" s="221"/>
      <c r="F24" s="218"/>
      <c r="G24" s="177">
        <f t="shared" ref="G24:G32" si="1">+F24*D24</f>
        <v>0</v>
      </c>
    </row>
    <row r="25" spans="2:7" s="14" customFormat="1" ht="18" customHeight="1" x14ac:dyDescent="0.25">
      <c r="B25" s="15" t="s">
        <v>431</v>
      </c>
      <c r="C25" s="219"/>
      <c r="D25" s="221"/>
      <c r="E25" s="221"/>
      <c r="F25" s="218"/>
      <c r="G25" s="177">
        <f t="shared" si="1"/>
        <v>0</v>
      </c>
    </row>
    <row r="26" spans="2:7" s="14" customFormat="1" ht="18" customHeight="1" x14ac:dyDescent="0.25">
      <c r="B26" s="15" t="s">
        <v>432</v>
      </c>
      <c r="C26" s="219"/>
      <c r="D26" s="221"/>
      <c r="E26" s="221"/>
      <c r="F26" s="218"/>
      <c r="G26" s="177">
        <f t="shared" si="1"/>
        <v>0</v>
      </c>
    </row>
    <row r="27" spans="2:7" s="14" customFormat="1" ht="18" customHeight="1" x14ac:dyDescent="0.25">
      <c r="B27" s="15" t="s">
        <v>433</v>
      </c>
      <c r="C27" s="594"/>
      <c r="D27" s="593"/>
      <c r="E27" s="593"/>
      <c r="F27" s="218"/>
      <c r="G27" s="177">
        <f t="shared" si="1"/>
        <v>0</v>
      </c>
    </row>
    <row r="28" spans="2:7" s="14" customFormat="1" ht="18" customHeight="1" x14ac:dyDescent="0.25">
      <c r="B28" s="15" t="s">
        <v>434</v>
      </c>
      <c r="C28" s="592"/>
      <c r="D28" s="593"/>
      <c r="E28" s="593"/>
      <c r="F28" s="218"/>
      <c r="G28" s="177">
        <f t="shared" si="1"/>
        <v>0</v>
      </c>
    </row>
    <row r="29" spans="2:7" s="14" customFormat="1" ht="18" customHeight="1" x14ac:dyDescent="0.25">
      <c r="B29" s="15" t="s">
        <v>435</v>
      </c>
      <c r="C29" s="594"/>
      <c r="D29" s="221"/>
      <c r="E29" s="221"/>
      <c r="F29" s="218"/>
      <c r="G29" s="177">
        <f t="shared" si="1"/>
        <v>0</v>
      </c>
    </row>
    <row r="30" spans="2:7" s="14" customFormat="1" ht="18" customHeight="1" x14ac:dyDescent="0.25">
      <c r="B30" s="15" t="s">
        <v>436</v>
      </c>
      <c r="C30" s="219"/>
      <c r="D30" s="221"/>
      <c r="E30" s="221"/>
      <c r="F30" s="218"/>
      <c r="G30" s="177">
        <f t="shared" si="1"/>
        <v>0</v>
      </c>
    </row>
    <row r="31" spans="2:7" s="14" customFormat="1" ht="18" customHeight="1" x14ac:dyDescent="0.25">
      <c r="B31" s="15" t="s">
        <v>437</v>
      </c>
      <c r="C31" s="219"/>
      <c r="D31" s="221"/>
      <c r="E31" s="221"/>
      <c r="F31" s="218"/>
      <c r="G31" s="177">
        <f t="shared" si="1"/>
        <v>0</v>
      </c>
    </row>
    <row r="32" spans="2:7" s="14" customFormat="1" ht="18" customHeight="1" thickBot="1" x14ac:dyDescent="0.3">
      <c r="B32" s="15" t="s">
        <v>438</v>
      </c>
      <c r="C32" s="219"/>
      <c r="D32" s="221"/>
      <c r="E32" s="221"/>
      <c r="F32" s="218"/>
      <c r="G32" s="177">
        <f t="shared" si="1"/>
        <v>0</v>
      </c>
    </row>
    <row r="33" spans="2:7" s="14" customFormat="1" ht="18" customHeight="1" thickBot="1" x14ac:dyDescent="0.35">
      <c r="B33" s="797" t="s">
        <v>439</v>
      </c>
      <c r="C33" s="798"/>
      <c r="D33" s="798"/>
      <c r="E33" s="78"/>
      <c r="F33" s="68"/>
      <c r="G33" s="118">
        <f>SUM(G23:G32)</f>
        <v>0</v>
      </c>
    </row>
    <row r="34" spans="2:7" s="14" customFormat="1" ht="18" customHeight="1" x14ac:dyDescent="0.25">
      <c r="B34" s="800" t="s">
        <v>440</v>
      </c>
      <c r="C34" s="801"/>
      <c r="D34" s="801"/>
      <c r="E34" s="801"/>
      <c r="F34" s="801"/>
      <c r="G34" s="802"/>
    </row>
    <row r="35" spans="2:7" s="14" customFormat="1" ht="35.1" customHeight="1" x14ac:dyDescent="0.25">
      <c r="B35" s="34" t="s">
        <v>412</v>
      </c>
      <c r="C35" s="35" t="s">
        <v>18</v>
      </c>
      <c r="D35" s="35" t="s">
        <v>413</v>
      </c>
      <c r="E35" s="35" t="s">
        <v>414</v>
      </c>
      <c r="F35" s="35" t="s">
        <v>441</v>
      </c>
      <c r="G35" s="36" t="s">
        <v>416</v>
      </c>
    </row>
    <row r="36" spans="2:7" s="14" customFormat="1" ht="18" customHeight="1" x14ac:dyDescent="0.25">
      <c r="B36" s="15" t="s">
        <v>442</v>
      </c>
      <c r="C36" s="219"/>
      <c r="D36" s="222"/>
      <c r="E36" s="222"/>
      <c r="F36" s="218"/>
      <c r="G36" s="177">
        <f>+F36*D36</f>
        <v>0</v>
      </c>
    </row>
    <row r="37" spans="2:7" s="14" customFormat="1" ht="18" customHeight="1" x14ac:dyDescent="0.25">
      <c r="B37" s="15" t="s">
        <v>443</v>
      </c>
      <c r="C37" s="219"/>
      <c r="D37" s="222"/>
      <c r="E37" s="222"/>
      <c r="F37" s="218"/>
      <c r="G37" s="177">
        <f>+F37*D37</f>
        <v>0</v>
      </c>
    </row>
    <row r="38" spans="2:7" s="14" customFormat="1" ht="18" customHeight="1" thickBot="1" x14ac:dyDescent="0.3">
      <c r="B38" s="15" t="s">
        <v>444</v>
      </c>
      <c r="C38" s="219"/>
      <c r="D38" s="222"/>
      <c r="E38" s="222"/>
      <c r="F38" s="218"/>
      <c r="G38" s="177">
        <f>+F38*D38</f>
        <v>0</v>
      </c>
    </row>
    <row r="39" spans="2:7" s="14" customFormat="1" ht="18" customHeight="1" thickBot="1" x14ac:dyDescent="0.35">
      <c r="B39" s="797" t="s">
        <v>445</v>
      </c>
      <c r="C39" s="798"/>
      <c r="D39" s="798"/>
      <c r="E39" s="78"/>
      <c r="F39" s="68"/>
      <c r="G39" s="118">
        <f>SUM(G36:G38)</f>
        <v>0</v>
      </c>
    </row>
    <row r="40" spans="2:7" s="14" customFormat="1" ht="18" customHeight="1" x14ac:dyDescent="0.25">
      <c r="B40" s="800" t="s">
        <v>446</v>
      </c>
      <c r="C40" s="801"/>
      <c r="D40" s="801"/>
      <c r="E40" s="801"/>
      <c r="F40" s="801"/>
      <c r="G40" s="802"/>
    </row>
    <row r="41" spans="2:7" s="14" customFormat="1" ht="35.1" customHeight="1" x14ac:dyDescent="0.25">
      <c r="B41" s="34" t="s">
        <v>412</v>
      </c>
      <c r="C41" s="35" t="s">
        <v>18</v>
      </c>
      <c r="D41" s="35" t="s">
        <v>413</v>
      </c>
      <c r="E41" s="35" t="s">
        <v>414</v>
      </c>
      <c r="F41" s="35" t="s">
        <v>441</v>
      </c>
      <c r="G41" s="36" t="s">
        <v>416</v>
      </c>
    </row>
    <row r="42" spans="2:7" s="14" customFormat="1" ht="18" customHeight="1" x14ac:dyDescent="0.25">
      <c r="B42" s="15" t="s">
        <v>447</v>
      </c>
      <c r="C42" s="223"/>
      <c r="D42" s="222"/>
      <c r="E42" s="222"/>
      <c r="F42" s="218"/>
      <c r="G42" s="177">
        <f>+F42*D42</f>
        <v>0</v>
      </c>
    </row>
    <row r="43" spans="2:7" s="14" customFormat="1" ht="18" customHeight="1" x14ac:dyDescent="0.25">
      <c r="B43" s="15" t="s">
        <v>448</v>
      </c>
      <c r="C43" s="223"/>
      <c r="D43" s="222"/>
      <c r="E43" s="222"/>
      <c r="F43" s="218"/>
      <c r="G43" s="177">
        <f>+F43*D43</f>
        <v>0</v>
      </c>
    </row>
    <row r="44" spans="2:7" s="14" customFormat="1" ht="18" customHeight="1" x14ac:dyDescent="0.25">
      <c r="B44" s="15" t="s">
        <v>449</v>
      </c>
      <c r="C44" s="224"/>
      <c r="D44" s="213"/>
      <c r="E44" s="216"/>
      <c r="F44" s="216"/>
      <c r="G44" s="177">
        <f t="shared" ref="G44:G50" si="2">+F44*D44</f>
        <v>0</v>
      </c>
    </row>
    <row r="45" spans="2:7" s="14" customFormat="1" ht="18" customHeight="1" x14ac:dyDescent="0.25">
      <c r="B45" s="15" t="s">
        <v>450</v>
      </c>
      <c r="C45" s="224"/>
      <c r="D45" s="213"/>
      <c r="E45" s="216"/>
      <c r="F45" s="216"/>
      <c r="G45" s="177">
        <f t="shared" si="2"/>
        <v>0</v>
      </c>
    </row>
    <row r="46" spans="2:7" s="14" customFormat="1" ht="18" customHeight="1" x14ac:dyDescent="0.25">
      <c r="B46" s="15" t="s">
        <v>451</v>
      </c>
      <c r="C46" s="224"/>
      <c r="D46" s="213"/>
      <c r="E46" s="216"/>
      <c r="F46" s="216"/>
      <c r="G46" s="177">
        <f t="shared" si="2"/>
        <v>0</v>
      </c>
    </row>
    <row r="47" spans="2:7" s="14" customFormat="1" ht="18" customHeight="1" x14ac:dyDescent="0.25">
      <c r="B47" s="15" t="s">
        <v>452</v>
      </c>
      <c r="C47" s="224"/>
      <c r="D47" s="213"/>
      <c r="E47" s="216"/>
      <c r="F47" s="216"/>
      <c r="G47" s="177">
        <f t="shared" si="2"/>
        <v>0</v>
      </c>
    </row>
    <row r="48" spans="2:7" s="14" customFormat="1" ht="18" customHeight="1" x14ac:dyDescent="0.25">
      <c r="B48" s="15" t="s">
        <v>453</v>
      </c>
      <c r="C48" s="224"/>
      <c r="D48" s="213"/>
      <c r="E48" s="216"/>
      <c r="F48" s="216"/>
      <c r="G48" s="177">
        <f t="shared" si="2"/>
        <v>0</v>
      </c>
    </row>
    <row r="49" spans="2:7" s="14" customFormat="1" ht="18" customHeight="1" x14ac:dyDescent="0.25">
      <c r="B49" s="15" t="s">
        <v>454</v>
      </c>
      <c r="C49" s="224"/>
      <c r="D49" s="213"/>
      <c r="E49" s="216"/>
      <c r="F49" s="216"/>
      <c r="G49" s="177">
        <f t="shared" si="2"/>
        <v>0</v>
      </c>
    </row>
    <row r="50" spans="2:7" s="14" customFormat="1" ht="18" customHeight="1" thickBot="1" x14ac:dyDescent="0.3">
      <c r="B50" s="15" t="s">
        <v>455</v>
      </c>
      <c r="C50" s="224"/>
      <c r="D50" s="213"/>
      <c r="E50" s="216"/>
      <c r="F50" s="216"/>
      <c r="G50" s="177">
        <f t="shared" si="2"/>
        <v>0</v>
      </c>
    </row>
    <row r="51" spans="2:7" s="14" customFormat="1" ht="18" customHeight="1" thickBot="1" x14ac:dyDescent="0.35">
      <c r="B51" s="797" t="s">
        <v>456</v>
      </c>
      <c r="C51" s="798"/>
      <c r="D51" s="798"/>
      <c r="E51" s="798"/>
      <c r="F51" s="799"/>
      <c r="G51" s="124">
        <f>SUM(G42:G49)</f>
        <v>0</v>
      </c>
    </row>
    <row r="52" spans="2:7" x14ac:dyDescent="0.25">
      <c r="B52" s="180"/>
    </row>
  </sheetData>
  <mergeCells count="9">
    <mergeCell ref="B51:F51"/>
    <mergeCell ref="C1:F1"/>
    <mergeCell ref="B8:G8"/>
    <mergeCell ref="B20:E20"/>
    <mergeCell ref="B40:G40"/>
    <mergeCell ref="B39:D39"/>
    <mergeCell ref="C21:G21"/>
    <mergeCell ref="B34:G34"/>
    <mergeCell ref="B33:D33"/>
  </mergeCells>
  <phoneticPr fontId="0" type="noConversion"/>
  <printOptions horizontalCentered="1"/>
  <pageMargins left="0.78740157480314965" right="0.39370078740157483" top="0.39370078740157483" bottom="0.39370078740157483" header="0" footer="0"/>
  <pageSetup paperSize="9" scale="59" orientation="portrait" horizontalDpi="300" verticalDpi="300" r:id="rId1"/>
  <headerFooter alignWithMargins="0">
    <oddFooter>&amp;L&amp;P - &amp;N CONFIDENCIAL&amp;C&amp;D&amp;R&amp;F -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O98"/>
  <sheetViews>
    <sheetView view="pageBreakPreview" topLeftCell="B1" zoomScale="75" zoomScaleNormal="75" workbookViewId="0">
      <selection activeCell="D85" sqref="D85"/>
    </sheetView>
  </sheetViews>
  <sheetFormatPr baseColWidth="10" defaultColWidth="11.44140625" defaultRowHeight="13.2" x14ac:dyDescent="0.25"/>
  <cols>
    <col min="1" max="1" width="11.44140625" style="4"/>
    <col min="2" max="2" width="21.44140625" style="13" bestFit="1" customWidth="1"/>
    <col min="3" max="3" width="65.88671875" style="40" customWidth="1"/>
    <col min="4" max="4" width="15.6640625" style="13" customWidth="1"/>
    <col min="5" max="5" width="15.33203125" style="4" customWidth="1"/>
    <col min="6" max="6" width="24" style="4" customWidth="1"/>
    <col min="7" max="8" width="11.44140625" style="4"/>
    <col min="9" max="9" width="50.88671875" style="4" bestFit="1" customWidth="1"/>
    <col min="10" max="16384" width="11.44140625" style="4"/>
  </cols>
  <sheetData>
    <row r="1" spans="2:9" ht="30" customHeight="1" x14ac:dyDescent="0.4">
      <c r="B1" s="30"/>
      <c r="C1" s="613" t="s">
        <v>457</v>
      </c>
      <c r="D1" s="613"/>
      <c r="E1" s="613"/>
      <c r="F1" s="31"/>
    </row>
    <row r="2" spans="2:9" ht="9" customHeight="1" x14ac:dyDescent="0.4">
      <c r="B2" s="4"/>
      <c r="C2" s="205"/>
      <c r="D2" s="205"/>
      <c r="E2" s="205"/>
      <c r="F2" s="19"/>
    </row>
    <row r="3" spans="2:9" x14ac:dyDescent="0.25">
      <c r="B3" s="595" t="s">
        <v>54</v>
      </c>
      <c r="C3" s="559" t="str">
        <f>'Sintesis Economica'!C2</f>
        <v>PAMPA</v>
      </c>
      <c r="D3" s="559"/>
      <c r="E3" s="3" t="s">
        <v>113</v>
      </c>
      <c r="F3" s="19" t="str">
        <f>'Sintesis Economica'!J2</f>
        <v>SHM</v>
      </c>
    </row>
    <row r="4" spans="2:9" x14ac:dyDescent="0.25">
      <c r="B4" s="595" t="s">
        <v>114</v>
      </c>
      <c r="C4" s="559" t="str">
        <f>'Sintesis Economica'!C3</f>
        <v>PAMPA SERVICIOS MENORES CIVILES</v>
      </c>
      <c r="D4" s="559"/>
      <c r="E4" s="3" t="s">
        <v>115</v>
      </c>
      <c r="F4" s="19" t="str">
        <f>'Sintesis Economica'!J3</f>
        <v>SHM</v>
      </c>
    </row>
    <row r="5" spans="2:9" x14ac:dyDescent="0.25">
      <c r="B5" s="595" t="s">
        <v>231</v>
      </c>
      <c r="C5" s="559" t="str">
        <f>'Sintesis Economica'!C5</f>
        <v>Nº LICITACIÓN: SIN</v>
      </c>
      <c r="D5" s="559"/>
      <c r="E5" s="3" t="s">
        <v>58</v>
      </c>
      <c r="F5" s="19">
        <f>'Sintesis Economica'!J4</f>
        <v>0</v>
      </c>
    </row>
    <row r="6" spans="2:9" ht="13.8" thickBot="1" x14ac:dyDescent="0.3">
      <c r="B6" s="596" t="s">
        <v>61</v>
      </c>
      <c r="C6" s="561" t="str">
        <f>'Sintesis Economica'!C6</f>
        <v>PRE-ARG-1340</v>
      </c>
      <c r="D6" s="562"/>
      <c r="E6" s="22"/>
      <c r="F6" s="23"/>
    </row>
    <row r="7" spans="2:9" s="14" customFormat="1" ht="22.5" customHeight="1" thickBot="1" x14ac:dyDescent="0.35">
      <c r="B7" s="818" t="s">
        <v>458</v>
      </c>
      <c r="C7" s="819"/>
      <c r="D7" s="819"/>
      <c r="E7" s="820"/>
      <c r="F7" s="41">
        <f>+F39+F54+F61+F68+F87+F96</f>
        <v>2787372.8342245989</v>
      </c>
      <c r="G7" s="191" t="e">
        <f>+F7/#REF!</f>
        <v>#REF!</v>
      </c>
      <c r="H7" s="116"/>
      <c r="I7" s="408"/>
    </row>
    <row r="8" spans="2:9" s="14" customFormat="1" ht="20.100000000000001" customHeight="1" x14ac:dyDescent="0.25">
      <c r="B8" s="800" t="s">
        <v>459</v>
      </c>
      <c r="C8" s="801"/>
      <c r="D8" s="801"/>
      <c r="E8" s="801"/>
      <c r="F8" s="802"/>
      <c r="G8" s="191"/>
    </row>
    <row r="9" spans="2:9" s="14" customFormat="1" ht="35.1" customHeight="1" x14ac:dyDescent="0.25">
      <c r="B9" s="34" t="s">
        <v>412</v>
      </c>
      <c r="C9" s="35" t="s">
        <v>18</v>
      </c>
      <c r="D9" s="60" t="s">
        <v>413</v>
      </c>
      <c r="E9" s="60" t="s">
        <v>415</v>
      </c>
      <c r="F9" s="61" t="s">
        <v>416</v>
      </c>
    </row>
    <row r="10" spans="2:9" s="14" customFormat="1" ht="18" customHeight="1" x14ac:dyDescent="0.25">
      <c r="B10" s="15" t="s">
        <v>460</v>
      </c>
      <c r="C10" s="225" t="s">
        <v>461</v>
      </c>
      <c r="D10" s="220">
        <v>400</v>
      </c>
      <c r="E10" s="347">
        <f>'1 MANO DE OBRA'!C24</f>
        <v>1309</v>
      </c>
      <c r="F10" s="177">
        <f t="shared" ref="F10:F38" si="0">+E10*D10</f>
        <v>523600</v>
      </c>
      <c r="H10" s="431">
        <v>2</v>
      </c>
      <c r="I10" s="14" t="s">
        <v>462</v>
      </c>
    </row>
    <row r="11" spans="2:9" s="14" customFormat="1" ht="18" customHeight="1" x14ac:dyDescent="0.25">
      <c r="B11" s="15" t="s">
        <v>463</v>
      </c>
      <c r="C11" s="226"/>
      <c r="D11" s="220"/>
      <c r="E11" s="218"/>
      <c r="F11" s="177">
        <f t="shared" si="0"/>
        <v>0</v>
      </c>
    </row>
    <row r="12" spans="2:9" s="14" customFormat="1" ht="18" customHeight="1" x14ac:dyDescent="0.25">
      <c r="B12" s="15" t="s">
        <v>464</v>
      </c>
      <c r="C12" s="226"/>
      <c r="D12" s="220"/>
      <c r="E12" s="218"/>
      <c r="F12" s="177">
        <f t="shared" si="0"/>
        <v>0</v>
      </c>
    </row>
    <row r="13" spans="2:9" s="14" customFormat="1" ht="18" customHeight="1" x14ac:dyDescent="0.25">
      <c r="B13" s="15" t="s">
        <v>465</v>
      </c>
      <c r="C13" s="226"/>
      <c r="D13" s="220"/>
      <c r="E13" s="218"/>
      <c r="F13" s="177">
        <f t="shared" si="0"/>
        <v>0</v>
      </c>
    </row>
    <row r="14" spans="2:9" s="14" customFormat="1" ht="18" customHeight="1" x14ac:dyDescent="0.25">
      <c r="B14" s="15" t="s">
        <v>466</v>
      </c>
      <c r="C14" s="226"/>
      <c r="D14" s="220"/>
      <c r="E14" s="218"/>
      <c r="F14" s="177">
        <f t="shared" si="0"/>
        <v>0</v>
      </c>
    </row>
    <row r="15" spans="2:9" s="14" customFormat="1" ht="18" customHeight="1" x14ac:dyDescent="0.25">
      <c r="B15" s="15" t="s">
        <v>467</v>
      </c>
      <c r="C15" s="226"/>
      <c r="D15" s="220"/>
      <c r="E15" s="218"/>
      <c r="F15" s="177">
        <f t="shared" si="0"/>
        <v>0</v>
      </c>
    </row>
    <row r="16" spans="2:9" s="14" customFormat="1" ht="18" customHeight="1" x14ac:dyDescent="0.25">
      <c r="B16" s="15" t="s">
        <v>468</v>
      </c>
      <c r="C16" s="226"/>
      <c r="D16" s="220"/>
      <c r="E16" s="218"/>
      <c r="F16" s="177">
        <f t="shared" si="0"/>
        <v>0</v>
      </c>
    </row>
    <row r="17" spans="2:6" s="14" customFormat="1" ht="18" customHeight="1" x14ac:dyDescent="0.25">
      <c r="B17" s="15" t="s">
        <v>469</v>
      </c>
      <c r="C17" s="227"/>
      <c r="D17" s="220"/>
      <c r="E17" s="218"/>
      <c r="F17" s="177">
        <f t="shared" si="0"/>
        <v>0</v>
      </c>
    </row>
    <row r="18" spans="2:6" s="14" customFormat="1" ht="18" customHeight="1" x14ac:dyDescent="0.25">
      <c r="B18" s="15" t="s">
        <v>470</v>
      </c>
      <c r="C18" s="227"/>
      <c r="D18" s="220"/>
      <c r="E18" s="218"/>
      <c r="F18" s="177">
        <f t="shared" si="0"/>
        <v>0</v>
      </c>
    </row>
    <row r="19" spans="2:6" s="14" customFormat="1" ht="18" customHeight="1" x14ac:dyDescent="0.25">
      <c r="B19" s="15" t="s">
        <v>471</v>
      </c>
      <c r="C19" s="226"/>
      <c r="D19" s="220"/>
      <c r="E19" s="218"/>
      <c r="F19" s="177">
        <f t="shared" si="0"/>
        <v>0</v>
      </c>
    </row>
    <row r="20" spans="2:6" s="14" customFormat="1" ht="18" customHeight="1" x14ac:dyDescent="0.25">
      <c r="B20" s="15" t="s">
        <v>472</v>
      </c>
      <c r="C20" s="226"/>
      <c r="D20" s="220"/>
      <c r="E20" s="218"/>
      <c r="F20" s="177">
        <f t="shared" si="0"/>
        <v>0</v>
      </c>
    </row>
    <row r="21" spans="2:6" s="14" customFormat="1" ht="18" customHeight="1" x14ac:dyDescent="0.25">
      <c r="B21" s="15" t="s">
        <v>473</v>
      </c>
      <c r="C21" s="226"/>
      <c r="D21" s="220"/>
      <c r="E21" s="218"/>
      <c r="F21" s="177">
        <f t="shared" si="0"/>
        <v>0</v>
      </c>
    </row>
    <row r="22" spans="2:6" s="14" customFormat="1" ht="18" customHeight="1" x14ac:dyDescent="0.25">
      <c r="B22" s="15" t="s">
        <v>474</v>
      </c>
      <c r="C22" s="226"/>
      <c r="D22" s="220"/>
      <c r="E22" s="218"/>
      <c r="F22" s="177">
        <f t="shared" si="0"/>
        <v>0</v>
      </c>
    </row>
    <row r="23" spans="2:6" s="14" customFormat="1" ht="18" customHeight="1" x14ac:dyDescent="0.25">
      <c r="B23" s="15" t="s">
        <v>475</v>
      </c>
      <c r="C23" s="226"/>
      <c r="D23" s="220"/>
      <c r="E23" s="218"/>
      <c r="F23" s="177">
        <f t="shared" si="0"/>
        <v>0</v>
      </c>
    </row>
    <row r="24" spans="2:6" s="14" customFormat="1" ht="18" customHeight="1" x14ac:dyDescent="0.25">
      <c r="B24" s="15" t="s">
        <v>476</v>
      </c>
      <c r="C24" s="226"/>
      <c r="D24" s="220"/>
      <c r="E24" s="218"/>
      <c r="F24" s="177">
        <f t="shared" si="0"/>
        <v>0</v>
      </c>
    </row>
    <row r="25" spans="2:6" s="14" customFormat="1" ht="18" customHeight="1" x14ac:dyDescent="0.25">
      <c r="B25" s="15" t="s">
        <v>477</v>
      </c>
      <c r="C25" s="226"/>
      <c r="D25" s="220"/>
      <c r="E25" s="218"/>
      <c r="F25" s="177">
        <f t="shared" si="0"/>
        <v>0</v>
      </c>
    </row>
    <row r="26" spans="2:6" s="14" customFormat="1" ht="15" x14ac:dyDescent="0.25">
      <c r="B26" s="15" t="s">
        <v>478</v>
      </c>
      <c r="C26" s="225"/>
      <c r="D26" s="220"/>
      <c r="E26" s="218"/>
      <c r="F26" s="177">
        <f t="shared" si="0"/>
        <v>0</v>
      </c>
    </row>
    <row r="27" spans="2:6" s="14" customFormat="1" ht="18" customHeight="1" x14ac:dyDescent="0.25">
      <c r="B27" s="15" t="s">
        <v>479</v>
      </c>
      <c r="C27" s="226"/>
      <c r="D27" s="220"/>
      <c r="E27" s="218"/>
      <c r="F27" s="177">
        <f t="shared" si="0"/>
        <v>0</v>
      </c>
    </row>
    <row r="28" spans="2:6" s="14" customFormat="1" ht="18" customHeight="1" x14ac:dyDescent="0.25">
      <c r="B28" s="15" t="s">
        <v>480</v>
      </c>
      <c r="C28" s="226"/>
      <c r="D28" s="220"/>
      <c r="E28" s="218"/>
      <c r="F28" s="177">
        <f t="shared" si="0"/>
        <v>0</v>
      </c>
    </row>
    <row r="29" spans="2:6" s="14" customFormat="1" ht="18" customHeight="1" x14ac:dyDescent="0.25">
      <c r="B29" s="15" t="s">
        <v>481</v>
      </c>
      <c r="C29" s="226"/>
      <c r="D29" s="220"/>
      <c r="E29" s="218"/>
      <c r="F29" s="177">
        <f t="shared" si="0"/>
        <v>0</v>
      </c>
    </row>
    <row r="30" spans="2:6" s="14" customFormat="1" ht="18" customHeight="1" x14ac:dyDescent="0.25">
      <c r="B30" s="15" t="s">
        <v>482</v>
      </c>
      <c r="C30" s="226"/>
      <c r="D30" s="220"/>
      <c r="E30" s="218"/>
      <c r="F30" s="177">
        <f t="shared" si="0"/>
        <v>0</v>
      </c>
    </row>
    <row r="31" spans="2:6" s="14" customFormat="1" ht="18" customHeight="1" x14ac:dyDescent="0.25">
      <c r="B31" s="15" t="s">
        <v>483</v>
      </c>
      <c r="C31" s="226"/>
      <c r="D31" s="220"/>
      <c r="E31" s="218"/>
      <c r="F31" s="177">
        <f t="shared" si="0"/>
        <v>0</v>
      </c>
    </row>
    <row r="32" spans="2:6" s="14" customFormat="1" ht="18" customHeight="1" x14ac:dyDescent="0.25">
      <c r="B32" s="15" t="s">
        <v>484</v>
      </c>
      <c r="C32" s="226"/>
      <c r="D32" s="220"/>
      <c r="E32" s="218"/>
      <c r="F32" s="177">
        <f t="shared" si="0"/>
        <v>0</v>
      </c>
    </row>
    <row r="33" spans="2:15" s="14" customFormat="1" ht="18" customHeight="1" x14ac:dyDescent="0.25">
      <c r="B33" s="15" t="s">
        <v>485</v>
      </c>
      <c r="C33" s="226"/>
      <c r="D33" s="222"/>
      <c r="E33" s="218"/>
      <c r="F33" s="177">
        <f t="shared" si="0"/>
        <v>0</v>
      </c>
    </row>
    <row r="34" spans="2:15" s="14" customFormat="1" ht="18" customHeight="1" x14ac:dyDescent="0.25">
      <c r="B34" s="15" t="s">
        <v>486</v>
      </c>
      <c r="C34" s="226"/>
      <c r="D34" s="222"/>
      <c r="E34" s="218"/>
      <c r="F34" s="177">
        <f t="shared" si="0"/>
        <v>0</v>
      </c>
    </row>
    <row r="35" spans="2:15" s="14" customFormat="1" ht="18" customHeight="1" x14ac:dyDescent="0.25">
      <c r="B35" s="15" t="s">
        <v>487</v>
      </c>
      <c r="C35" s="226"/>
      <c r="D35" s="222"/>
      <c r="E35" s="218"/>
      <c r="F35" s="177">
        <f t="shared" si="0"/>
        <v>0</v>
      </c>
    </row>
    <row r="36" spans="2:15" s="14" customFormat="1" ht="18" customHeight="1" x14ac:dyDescent="0.25">
      <c r="B36" s="15" t="s">
        <v>488</v>
      </c>
      <c r="C36" s="226"/>
      <c r="D36" s="222"/>
      <c r="E36" s="218"/>
      <c r="F36" s="177">
        <f t="shared" si="0"/>
        <v>0</v>
      </c>
    </row>
    <row r="37" spans="2:15" s="14" customFormat="1" ht="18" customHeight="1" x14ac:dyDescent="0.25">
      <c r="B37" s="15" t="s">
        <v>489</v>
      </c>
      <c r="C37" s="226"/>
      <c r="D37" s="222"/>
      <c r="E37" s="218"/>
      <c r="F37" s="177">
        <f t="shared" si="0"/>
        <v>0</v>
      </c>
    </row>
    <row r="38" spans="2:15" s="14" customFormat="1" ht="18" customHeight="1" thickBot="1" x14ac:dyDescent="0.3">
      <c r="B38" s="15" t="s">
        <v>490</v>
      </c>
      <c r="C38" s="226"/>
      <c r="D38" s="228"/>
      <c r="E38" s="229"/>
      <c r="F38" s="177">
        <f t="shared" si="0"/>
        <v>0</v>
      </c>
      <c r="G38" s="77"/>
    </row>
    <row r="39" spans="2:15" s="14" customFormat="1" ht="18" customHeight="1" x14ac:dyDescent="0.25">
      <c r="B39" s="807" t="s">
        <v>491</v>
      </c>
      <c r="C39" s="808"/>
      <c r="D39" s="808"/>
      <c r="E39" s="37"/>
      <c r="F39" s="811">
        <f>SUM(F10:F38)</f>
        <v>523600</v>
      </c>
      <c r="G39" s="817" t="e">
        <f>+F39/#REF!</f>
        <v>#REF!</v>
      </c>
    </row>
    <row r="40" spans="2:15" s="14" customFormat="1" ht="18" customHeight="1" thickBot="1" x14ac:dyDescent="0.3">
      <c r="B40" s="809"/>
      <c r="C40" s="810"/>
      <c r="D40" s="810"/>
      <c r="E40" s="38"/>
      <c r="F40" s="812"/>
      <c r="G40" s="817"/>
      <c r="H40" s="116"/>
      <c r="I40" s="409"/>
    </row>
    <row r="41" spans="2:15" s="14" customFormat="1" ht="20.100000000000001" customHeight="1" x14ac:dyDescent="0.25">
      <c r="B41" s="39"/>
      <c r="C41" s="805" t="s">
        <v>492</v>
      </c>
      <c r="D41" s="805"/>
      <c r="E41" s="805"/>
      <c r="F41" s="806"/>
    </row>
    <row r="42" spans="2:15" s="14" customFormat="1" ht="35.1" customHeight="1" x14ac:dyDescent="0.25">
      <c r="B42" s="15" t="s">
        <v>412</v>
      </c>
      <c r="C42" s="35" t="s">
        <v>18</v>
      </c>
      <c r="D42" s="35" t="s">
        <v>413</v>
      </c>
      <c r="E42" s="35" t="s">
        <v>415</v>
      </c>
      <c r="F42" s="36" t="s">
        <v>416</v>
      </c>
      <c r="I42" s="14" t="s">
        <v>493</v>
      </c>
      <c r="J42" s="14" t="s">
        <v>494</v>
      </c>
      <c r="K42" s="14" t="s">
        <v>495</v>
      </c>
      <c r="L42" s="14" t="s">
        <v>496</v>
      </c>
      <c r="M42" s="14" t="s">
        <v>497</v>
      </c>
      <c r="N42" s="14" t="s">
        <v>498</v>
      </c>
    </row>
    <row r="43" spans="2:15" s="14" customFormat="1" ht="18" customHeight="1" x14ac:dyDescent="0.25">
      <c r="B43" s="15" t="s">
        <v>499</v>
      </c>
      <c r="C43" s="219" t="s">
        <v>281</v>
      </c>
      <c r="D43" s="220">
        <v>2500</v>
      </c>
      <c r="E43" s="218">
        <f>70*4*2</f>
        <v>560</v>
      </c>
      <c r="F43" s="177">
        <f t="shared" ref="F43:F53" si="1">+E43*D43</f>
        <v>1400000</v>
      </c>
      <c r="I43" s="14" t="str">
        <f>+'5 AMORTIZACIÓN'!C11</f>
        <v>alaskan</v>
      </c>
      <c r="J43" s="77">
        <v>10</v>
      </c>
      <c r="K43" s="77">
        <v>1.5</v>
      </c>
      <c r="L43" s="77">
        <v>22</v>
      </c>
      <c r="M43" s="14">
        <v>2</v>
      </c>
      <c r="N43" s="315">
        <f>+J43*K43*L43</f>
        <v>330</v>
      </c>
      <c r="O43" s="14">
        <f>M43*N43</f>
        <v>660</v>
      </c>
    </row>
    <row r="44" spans="2:15" s="14" customFormat="1" ht="18" customHeight="1" x14ac:dyDescent="0.25">
      <c r="B44" s="15" t="s">
        <v>500</v>
      </c>
      <c r="C44" s="219"/>
      <c r="D44" s="221"/>
      <c r="E44" s="218"/>
      <c r="F44" s="177">
        <f>+E44*D44</f>
        <v>0</v>
      </c>
      <c r="I44" s="14" t="str">
        <f>+'5 AMORTIZACIÓN'!C12</f>
        <v>partner</v>
      </c>
      <c r="J44" s="77">
        <v>10</v>
      </c>
      <c r="K44" s="77">
        <v>3</v>
      </c>
      <c r="L44" s="77">
        <v>22</v>
      </c>
      <c r="M44" s="14">
        <v>2</v>
      </c>
      <c r="N44" s="315">
        <f>+J44*K44*L44</f>
        <v>660</v>
      </c>
      <c r="O44" s="14">
        <f>M44*N44</f>
        <v>1320</v>
      </c>
    </row>
    <row r="45" spans="2:15" s="14" customFormat="1" ht="18" customHeight="1" x14ac:dyDescent="0.25">
      <c r="B45" s="15" t="s">
        <v>501</v>
      </c>
      <c r="C45" s="219"/>
      <c r="D45" s="221"/>
      <c r="E45" s="218"/>
      <c r="F45" s="177">
        <f t="shared" si="1"/>
        <v>0</v>
      </c>
      <c r="I45" s="14">
        <f>+'5 AMORTIZACIÓN'!C13</f>
        <v>0</v>
      </c>
      <c r="J45" s="77">
        <v>10</v>
      </c>
      <c r="K45" s="77">
        <v>3</v>
      </c>
      <c r="L45" s="77">
        <v>22</v>
      </c>
      <c r="M45" s="14">
        <f>'5 AMORTIZACIÓN'!E13</f>
        <v>0</v>
      </c>
      <c r="N45" s="315">
        <f>+J45*K45*L45</f>
        <v>660</v>
      </c>
      <c r="O45" s="14">
        <f>M45*N45</f>
        <v>0</v>
      </c>
    </row>
    <row r="46" spans="2:15" s="14" customFormat="1" ht="18" customHeight="1" x14ac:dyDescent="0.25">
      <c r="B46" s="15" t="s">
        <v>502</v>
      </c>
      <c r="C46" s="219"/>
      <c r="D46" s="221"/>
      <c r="E46" s="218"/>
      <c r="F46" s="177">
        <f t="shared" si="1"/>
        <v>0</v>
      </c>
      <c r="I46" s="14">
        <f>+'5 AMORTIZACIÓN'!C14</f>
        <v>0</v>
      </c>
      <c r="J46" s="77">
        <v>10</v>
      </c>
      <c r="K46" s="77">
        <v>3</v>
      </c>
      <c r="L46" s="77">
        <v>22</v>
      </c>
      <c r="M46" s="14">
        <f>'5 AMORTIZACIÓN'!E14</f>
        <v>0</v>
      </c>
      <c r="N46" s="315">
        <f>+J46*K46*L46</f>
        <v>660</v>
      </c>
      <c r="O46" s="14">
        <f>M46*N46</f>
        <v>0</v>
      </c>
    </row>
    <row r="47" spans="2:15" s="14" customFormat="1" ht="18" customHeight="1" x14ac:dyDescent="0.25">
      <c r="B47" s="15" t="s">
        <v>503</v>
      </c>
      <c r="C47" s="219"/>
      <c r="D47" s="221"/>
      <c r="E47" s="218"/>
      <c r="F47" s="177">
        <f t="shared" si="1"/>
        <v>0</v>
      </c>
      <c r="I47" s="14">
        <f>+'5 AMORTIZACIÓN'!C15</f>
        <v>0</v>
      </c>
      <c r="J47" s="77">
        <v>10</v>
      </c>
      <c r="K47" s="77">
        <v>3</v>
      </c>
      <c r="L47" s="77">
        <v>22</v>
      </c>
      <c r="M47" s="14">
        <f>'5 AMORTIZACIÓN'!E15</f>
        <v>0</v>
      </c>
      <c r="N47" s="315">
        <f>+J47*K47*L47</f>
        <v>660</v>
      </c>
      <c r="O47" s="14">
        <f>M47*N47</f>
        <v>0</v>
      </c>
    </row>
    <row r="48" spans="2:15" s="14" customFormat="1" ht="18" customHeight="1" x14ac:dyDescent="0.25">
      <c r="B48" s="15" t="s">
        <v>504</v>
      </c>
      <c r="C48" s="219"/>
      <c r="D48" s="221"/>
      <c r="E48" s="218"/>
      <c r="F48" s="177">
        <f t="shared" si="1"/>
        <v>0</v>
      </c>
      <c r="I48" s="14">
        <f>+'5 AMORTIZACIÓN'!C16</f>
        <v>0</v>
      </c>
      <c r="J48" s="77"/>
      <c r="K48" s="77"/>
      <c r="L48" s="77"/>
      <c r="N48" s="315"/>
    </row>
    <row r="49" spans="2:15" s="14" customFormat="1" ht="18" customHeight="1" x14ac:dyDescent="0.25">
      <c r="B49" s="15" t="s">
        <v>505</v>
      </c>
      <c r="C49" s="219"/>
      <c r="D49" s="221"/>
      <c r="E49" s="218"/>
      <c r="F49" s="177">
        <f t="shared" si="1"/>
        <v>0</v>
      </c>
      <c r="J49" s="77"/>
      <c r="K49" s="77"/>
      <c r="L49" s="77"/>
      <c r="N49" s="315"/>
    </row>
    <row r="50" spans="2:15" s="14" customFormat="1" ht="18" customHeight="1" x14ac:dyDescent="0.25">
      <c r="B50" s="15" t="s">
        <v>506</v>
      </c>
      <c r="C50" s="219"/>
      <c r="D50" s="221"/>
      <c r="E50" s="218"/>
      <c r="F50" s="177">
        <f t="shared" si="1"/>
        <v>0</v>
      </c>
      <c r="M50" s="314">
        <f>+SUM(M43:M49)</f>
        <v>4</v>
      </c>
      <c r="N50" s="314">
        <f>+SUM(N43:N49)</f>
        <v>2970</v>
      </c>
      <c r="O50" s="314">
        <f>+SUM(O43:O49)</f>
        <v>1980</v>
      </c>
    </row>
    <row r="51" spans="2:15" s="14" customFormat="1" ht="18" customHeight="1" x14ac:dyDescent="0.25">
      <c r="B51" s="15" t="s">
        <v>507</v>
      </c>
      <c r="C51" s="219"/>
      <c r="D51" s="221"/>
      <c r="E51" s="218"/>
      <c r="F51" s="177">
        <f t="shared" si="1"/>
        <v>0</v>
      </c>
    </row>
    <row r="52" spans="2:15" s="14" customFormat="1" ht="18" customHeight="1" x14ac:dyDescent="0.25">
      <c r="B52" s="15" t="s">
        <v>508</v>
      </c>
      <c r="C52" s="219"/>
      <c r="D52" s="221"/>
      <c r="E52" s="218"/>
      <c r="F52" s="177">
        <f t="shared" si="1"/>
        <v>0</v>
      </c>
    </row>
    <row r="53" spans="2:15" s="14" customFormat="1" ht="18" customHeight="1" thickBot="1" x14ac:dyDescent="0.3">
      <c r="B53" s="15" t="s">
        <v>509</v>
      </c>
      <c r="C53" s="230"/>
      <c r="D53" s="231"/>
      <c r="E53" s="229"/>
      <c r="F53" s="177">
        <f t="shared" si="1"/>
        <v>0</v>
      </c>
      <c r="G53" s="77"/>
    </row>
    <row r="54" spans="2:15" s="14" customFormat="1" ht="18" customHeight="1" x14ac:dyDescent="0.25">
      <c r="B54" s="807" t="s">
        <v>510</v>
      </c>
      <c r="C54" s="808"/>
      <c r="D54" s="808"/>
      <c r="E54" s="37"/>
      <c r="F54" s="811">
        <f>SUM(F43:F53)</f>
        <v>1400000</v>
      </c>
      <c r="G54" s="817" t="e">
        <f>+F54/#REF!</f>
        <v>#REF!</v>
      </c>
    </row>
    <row r="55" spans="2:15" s="14" customFormat="1" ht="18" customHeight="1" thickBot="1" x14ac:dyDescent="0.3">
      <c r="B55" s="809"/>
      <c r="C55" s="810"/>
      <c r="D55" s="810"/>
      <c r="E55" s="38"/>
      <c r="F55" s="812"/>
      <c r="G55" s="817"/>
    </row>
    <row r="56" spans="2:15" s="14" customFormat="1" ht="20.100000000000001" customHeight="1" x14ac:dyDescent="0.25">
      <c r="B56" s="800" t="s">
        <v>511</v>
      </c>
      <c r="C56" s="801"/>
      <c r="D56" s="801"/>
      <c r="E56" s="801"/>
      <c r="F56" s="802"/>
    </row>
    <row r="57" spans="2:15" s="14" customFormat="1" ht="35.1" customHeight="1" x14ac:dyDescent="0.25">
      <c r="B57" s="34" t="s">
        <v>412</v>
      </c>
      <c r="C57" s="35" t="s">
        <v>18</v>
      </c>
      <c r="D57" s="35" t="s">
        <v>413</v>
      </c>
      <c r="E57" s="35" t="s">
        <v>441</v>
      </c>
      <c r="F57" s="36" t="s">
        <v>416</v>
      </c>
    </row>
    <row r="58" spans="2:15" s="14" customFormat="1" ht="18" customHeight="1" x14ac:dyDescent="0.25">
      <c r="B58" s="15" t="s">
        <v>512</v>
      </c>
      <c r="C58" s="219" t="s">
        <v>513</v>
      </c>
      <c r="D58" s="222">
        <v>15000</v>
      </c>
      <c r="E58" s="218">
        <v>1</v>
      </c>
      <c r="F58" s="177">
        <f>+E58*D58</f>
        <v>15000</v>
      </c>
    </row>
    <row r="59" spans="2:15" s="14" customFormat="1" ht="18" customHeight="1" x14ac:dyDescent="0.25">
      <c r="B59" s="15" t="s">
        <v>514</v>
      </c>
      <c r="C59" s="219"/>
      <c r="D59" s="222"/>
      <c r="E59" s="218"/>
      <c r="F59" s="177">
        <f>+E59*D59</f>
        <v>0</v>
      </c>
    </row>
    <row r="60" spans="2:15" s="14" customFormat="1" ht="18" customHeight="1" thickBot="1" x14ac:dyDescent="0.3">
      <c r="B60" s="15" t="s">
        <v>515</v>
      </c>
      <c r="C60" s="219"/>
      <c r="D60" s="222"/>
      <c r="E60" s="218"/>
      <c r="F60" s="177">
        <f>+E60*D60</f>
        <v>0</v>
      </c>
      <c r="G60" s="77"/>
    </row>
    <row r="61" spans="2:15" s="14" customFormat="1" ht="18" customHeight="1" x14ac:dyDescent="0.25">
      <c r="B61" s="807" t="s">
        <v>516</v>
      </c>
      <c r="C61" s="808"/>
      <c r="D61" s="808"/>
      <c r="E61" s="37"/>
      <c r="F61" s="811">
        <f>SUM(F58:F60)</f>
        <v>15000</v>
      </c>
      <c r="G61" s="817" t="e">
        <f>+F61/#REF!</f>
        <v>#REF!</v>
      </c>
    </row>
    <row r="62" spans="2:15" s="14" customFormat="1" ht="18" customHeight="1" thickBot="1" x14ac:dyDescent="0.3">
      <c r="B62" s="809"/>
      <c r="C62" s="810"/>
      <c r="D62" s="810"/>
      <c r="E62" s="38"/>
      <c r="F62" s="812"/>
      <c r="G62" s="817"/>
    </row>
    <row r="63" spans="2:15" s="14" customFormat="1" ht="20.100000000000001" customHeight="1" x14ac:dyDescent="0.25">
      <c r="B63" s="800" t="s">
        <v>517</v>
      </c>
      <c r="C63" s="801"/>
      <c r="D63" s="801"/>
      <c r="E63" s="801"/>
      <c r="F63" s="802"/>
    </row>
    <row r="64" spans="2:15" s="14" customFormat="1" ht="35.1" customHeight="1" x14ac:dyDescent="0.25">
      <c r="B64" s="34" t="s">
        <v>412</v>
      </c>
      <c r="C64" s="35" t="s">
        <v>18</v>
      </c>
      <c r="D64" s="35" t="s">
        <v>413</v>
      </c>
      <c r="E64" s="35" t="s">
        <v>441</v>
      </c>
      <c r="F64" s="36" t="s">
        <v>416</v>
      </c>
    </row>
    <row r="65" spans="2:9" s="14" customFormat="1" ht="18" customHeight="1" x14ac:dyDescent="0.25">
      <c r="B65" s="15" t="s">
        <v>518</v>
      </c>
      <c r="C65" s="223" t="s">
        <v>519</v>
      </c>
      <c r="D65" s="222">
        <v>15000</v>
      </c>
      <c r="E65" s="218">
        <v>1</v>
      </c>
      <c r="F65" s="177">
        <f>+E65*D65</f>
        <v>15000</v>
      </c>
    </row>
    <row r="66" spans="2:9" s="14" customFormat="1" ht="18" customHeight="1" x14ac:dyDescent="0.25">
      <c r="B66" s="15" t="s">
        <v>520</v>
      </c>
      <c r="C66" s="223"/>
      <c r="D66" s="222"/>
      <c r="E66" s="218"/>
      <c r="F66" s="177">
        <f>+E66*D66</f>
        <v>0</v>
      </c>
    </row>
    <row r="67" spans="2:9" s="14" customFormat="1" ht="18" customHeight="1" thickBot="1" x14ac:dyDescent="0.3">
      <c r="B67" s="16" t="s">
        <v>521</v>
      </c>
      <c r="C67" s="232"/>
      <c r="D67" s="228"/>
      <c r="E67" s="229"/>
      <c r="F67" s="178">
        <f>+E67*D67</f>
        <v>0</v>
      </c>
      <c r="G67" s="77"/>
    </row>
    <row r="68" spans="2:9" s="14" customFormat="1" ht="18" customHeight="1" x14ac:dyDescent="0.25">
      <c r="B68" s="807" t="s">
        <v>522</v>
      </c>
      <c r="C68" s="808"/>
      <c r="D68" s="808"/>
      <c r="E68" s="37"/>
      <c r="F68" s="811">
        <f>SUM(F65:F67)</f>
        <v>15000</v>
      </c>
      <c r="G68" s="817" t="e">
        <f>+F68/#REF!</f>
        <v>#REF!</v>
      </c>
    </row>
    <row r="69" spans="2:9" s="14" customFormat="1" ht="18" customHeight="1" thickBot="1" x14ac:dyDescent="0.3">
      <c r="B69" s="809"/>
      <c r="C69" s="810"/>
      <c r="D69" s="810"/>
      <c r="E69" s="38"/>
      <c r="F69" s="812"/>
      <c r="G69" s="817"/>
    </row>
    <row r="70" spans="2:9" s="14" customFormat="1" ht="20.100000000000001" customHeight="1" x14ac:dyDescent="0.25">
      <c r="B70" s="39"/>
      <c r="C70" s="805" t="s">
        <v>523</v>
      </c>
      <c r="D70" s="805"/>
      <c r="E70" s="805"/>
      <c r="F70" s="806"/>
    </row>
    <row r="71" spans="2:9" s="14" customFormat="1" ht="35.1" customHeight="1" x14ac:dyDescent="0.25">
      <c r="B71" s="15" t="s">
        <v>412</v>
      </c>
      <c r="C71" s="35" t="s">
        <v>18</v>
      </c>
      <c r="D71" s="35" t="s">
        <v>413</v>
      </c>
      <c r="E71" s="35" t="s">
        <v>415</v>
      </c>
      <c r="F71" s="36" t="s">
        <v>416</v>
      </c>
    </row>
    <row r="72" spans="2:9" s="14" customFormat="1" ht="18" customHeight="1" x14ac:dyDescent="0.25">
      <c r="B72" s="15" t="s">
        <v>524</v>
      </c>
      <c r="C72" s="219" t="s">
        <v>525</v>
      </c>
      <c r="D72" s="220">
        <f>2*5000*1.5*1.6</f>
        <v>24000</v>
      </c>
      <c r="E72" s="316">
        <f>+($H$73)*1</f>
        <v>8.6791443850267385</v>
      </c>
      <c r="F72" s="177">
        <f t="shared" ref="F72:F86" si="2">+E72*D72</f>
        <v>208299.46524064173</v>
      </c>
      <c r="H72" s="14" t="s">
        <v>526</v>
      </c>
    </row>
    <row r="73" spans="2:9" s="14" customFormat="1" ht="18" customHeight="1" x14ac:dyDescent="0.25">
      <c r="B73" s="15" t="s">
        <v>527</v>
      </c>
      <c r="C73" s="219" t="s">
        <v>528</v>
      </c>
      <c r="D73" s="221"/>
      <c r="E73" s="316"/>
      <c r="F73" s="177">
        <f t="shared" si="2"/>
        <v>0</v>
      </c>
      <c r="H73" s="464">
        <f>'1 MANO DE OBRA'!L45</f>
        <v>8.6791443850267385</v>
      </c>
      <c r="I73" s="14">
        <f>H73*80+350*2*H73/12</f>
        <v>1200.6149732620322</v>
      </c>
    </row>
    <row r="74" spans="2:9" s="14" customFormat="1" ht="18" customHeight="1" x14ac:dyDescent="0.25">
      <c r="B74" s="15" t="s">
        <v>529</v>
      </c>
      <c r="C74" s="219" t="s">
        <v>530</v>
      </c>
      <c r="D74" s="221">
        <f>1500*2*2</f>
        <v>6000</v>
      </c>
      <c r="E74" s="316">
        <v>20</v>
      </c>
      <c r="F74" s="177">
        <f t="shared" si="2"/>
        <v>120000</v>
      </c>
    </row>
    <row r="75" spans="2:9" s="14" customFormat="1" ht="18" customHeight="1" x14ac:dyDescent="0.25">
      <c r="B75" s="15" t="s">
        <v>531</v>
      </c>
      <c r="C75" s="219" t="s">
        <v>532</v>
      </c>
      <c r="D75" s="221"/>
      <c r="E75" s="316"/>
      <c r="F75" s="177">
        <f t="shared" si="2"/>
        <v>0</v>
      </c>
    </row>
    <row r="76" spans="2:9" s="14" customFormat="1" ht="18" customHeight="1" x14ac:dyDescent="0.25">
      <c r="B76" s="15" t="s">
        <v>533</v>
      </c>
      <c r="C76" s="219" t="s">
        <v>534</v>
      </c>
      <c r="D76" s="221"/>
      <c r="E76" s="316"/>
      <c r="F76" s="177">
        <f t="shared" si="2"/>
        <v>0</v>
      </c>
    </row>
    <row r="77" spans="2:9" s="14" customFormat="1" ht="18" customHeight="1" x14ac:dyDescent="0.25">
      <c r="B77" s="15" t="s">
        <v>535</v>
      </c>
      <c r="C77" s="219" t="s">
        <v>536</v>
      </c>
      <c r="D77" s="220"/>
      <c r="E77" s="316"/>
      <c r="F77" s="177">
        <f t="shared" si="2"/>
        <v>0</v>
      </c>
    </row>
    <row r="78" spans="2:9" s="14" customFormat="1" ht="18" customHeight="1" x14ac:dyDescent="0.25">
      <c r="B78" s="15" t="s">
        <v>537</v>
      </c>
      <c r="C78" s="219"/>
      <c r="D78" s="220"/>
      <c r="E78" s="316"/>
      <c r="F78" s="177">
        <f t="shared" si="2"/>
        <v>0</v>
      </c>
    </row>
    <row r="79" spans="2:9" s="14" customFormat="1" ht="18" customHeight="1" x14ac:dyDescent="0.25">
      <c r="B79" s="15" t="s">
        <v>538</v>
      </c>
      <c r="C79" s="219"/>
      <c r="D79" s="220"/>
      <c r="E79" s="316"/>
      <c r="F79" s="177">
        <f t="shared" si="2"/>
        <v>0</v>
      </c>
    </row>
    <row r="80" spans="2:9" s="14" customFormat="1" ht="18" customHeight="1" x14ac:dyDescent="0.25">
      <c r="B80" s="15" t="s">
        <v>539</v>
      </c>
      <c r="C80" s="219"/>
      <c r="D80" s="220"/>
      <c r="E80" s="316"/>
      <c r="F80" s="177">
        <f t="shared" si="2"/>
        <v>0</v>
      </c>
    </row>
    <row r="81" spans="2:8" s="14" customFormat="1" ht="18" customHeight="1" x14ac:dyDescent="0.25">
      <c r="B81" s="15" t="s">
        <v>540</v>
      </c>
      <c r="C81" s="219"/>
      <c r="D81" s="220"/>
      <c r="E81" s="316"/>
      <c r="F81" s="177">
        <f t="shared" si="2"/>
        <v>0</v>
      </c>
    </row>
    <row r="82" spans="2:8" s="14" customFormat="1" ht="18" customHeight="1" x14ac:dyDescent="0.25">
      <c r="B82" s="15" t="s">
        <v>541</v>
      </c>
      <c r="C82" s="219"/>
      <c r="D82" s="233"/>
      <c r="E82" s="316"/>
      <c r="F82" s="177">
        <f t="shared" si="2"/>
        <v>0</v>
      </c>
    </row>
    <row r="83" spans="2:8" s="14" customFormat="1" ht="18" customHeight="1" x14ac:dyDescent="0.25">
      <c r="B83" s="15" t="s">
        <v>542</v>
      </c>
      <c r="C83" s="219"/>
      <c r="D83" s="233"/>
      <c r="E83" s="218"/>
      <c r="F83" s="177">
        <f t="shared" si="2"/>
        <v>0</v>
      </c>
    </row>
    <row r="84" spans="2:8" s="14" customFormat="1" ht="18" customHeight="1" x14ac:dyDescent="0.25">
      <c r="B84" s="15" t="s">
        <v>543</v>
      </c>
      <c r="C84" s="219" t="s">
        <v>544</v>
      </c>
      <c r="D84" s="233">
        <f>600/6*200*1.6*1.4*1.3</f>
        <v>58240</v>
      </c>
      <c r="E84" s="347">
        <f>(+$H$73)</f>
        <v>8.6791443850267385</v>
      </c>
      <c r="F84" s="177">
        <f>+E84*D84</f>
        <v>505473.36898395728</v>
      </c>
      <c r="H84" s="116"/>
    </row>
    <row r="85" spans="2:8" s="14" customFormat="1" ht="18" customHeight="1" x14ac:dyDescent="0.25">
      <c r="B85" s="15" t="s">
        <v>545</v>
      </c>
      <c r="C85" s="219"/>
      <c r="D85" s="233"/>
      <c r="E85" s="218"/>
      <c r="F85" s="177">
        <f t="shared" si="2"/>
        <v>0</v>
      </c>
      <c r="H85" s="116"/>
    </row>
    <row r="86" spans="2:8" s="14" customFormat="1" ht="18" customHeight="1" thickBot="1" x14ac:dyDescent="0.3">
      <c r="B86" s="15" t="s">
        <v>546</v>
      </c>
      <c r="C86" s="219"/>
      <c r="D86" s="233"/>
      <c r="E86" s="218"/>
      <c r="F86" s="177">
        <f t="shared" si="2"/>
        <v>0</v>
      </c>
      <c r="G86" s="77"/>
    </row>
    <row r="87" spans="2:8" ht="18" customHeight="1" x14ac:dyDescent="0.25">
      <c r="B87" s="807" t="s">
        <v>547</v>
      </c>
      <c r="C87" s="808"/>
      <c r="D87" s="808"/>
      <c r="E87" s="37"/>
      <c r="F87" s="815">
        <f>SUM(F72:F86)</f>
        <v>833772.83422459895</v>
      </c>
      <c r="G87" s="817"/>
    </row>
    <row r="88" spans="2:8" ht="18" customHeight="1" thickBot="1" x14ac:dyDescent="0.3">
      <c r="B88" s="809"/>
      <c r="C88" s="810"/>
      <c r="D88" s="810"/>
      <c r="E88" s="38"/>
      <c r="F88" s="816"/>
      <c r="G88" s="817"/>
      <c r="H88" s="116" t="e">
        <f>+F87/#REF!</f>
        <v>#REF!</v>
      </c>
    </row>
    <row r="89" spans="2:8" ht="18" customHeight="1" x14ac:dyDescent="0.25">
      <c r="B89" s="800" t="s">
        <v>548</v>
      </c>
      <c r="C89" s="801"/>
      <c r="D89" s="801"/>
      <c r="E89" s="801"/>
      <c r="F89" s="802"/>
    </row>
    <row r="90" spans="2:8" ht="35.1" customHeight="1" x14ac:dyDescent="0.25">
      <c r="B90" s="34" t="s">
        <v>412</v>
      </c>
      <c r="C90" s="35" t="s">
        <v>18</v>
      </c>
      <c r="D90" s="35" t="s">
        <v>413</v>
      </c>
      <c r="E90" s="35" t="s">
        <v>441</v>
      </c>
      <c r="F90" s="36" t="s">
        <v>416</v>
      </c>
    </row>
    <row r="91" spans="2:8" ht="18" customHeight="1" x14ac:dyDescent="0.25">
      <c r="B91" s="15" t="s">
        <v>549</v>
      </c>
      <c r="C91" s="225"/>
      <c r="D91" s="234"/>
      <c r="E91" s="218"/>
      <c r="F91" s="179">
        <f>+E91*D91</f>
        <v>0</v>
      </c>
      <c r="H91" s="13">
        <v>0</v>
      </c>
    </row>
    <row r="92" spans="2:8" ht="18" customHeight="1" x14ac:dyDescent="0.25">
      <c r="B92" s="15" t="s">
        <v>550</v>
      </c>
      <c r="C92" s="235"/>
      <c r="D92" s="234"/>
      <c r="E92" s="218"/>
      <c r="F92" s="179">
        <f>+E92*D92</f>
        <v>0</v>
      </c>
    </row>
    <row r="93" spans="2:8" ht="18" customHeight="1" x14ac:dyDescent="0.25">
      <c r="B93" s="15" t="s">
        <v>551</v>
      </c>
      <c r="C93" s="235"/>
      <c r="D93" s="234"/>
      <c r="E93" s="218"/>
      <c r="F93" s="179">
        <f>+E93*D93</f>
        <v>0</v>
      </c>
    </row>
    <row r="94" spans="2:8" ht="18" customHeight="1" x14ac:dyDescent="0.25">
      <c r="B94" s="15" t="s">
        <v>552</v>
      </c>
      <c r="C94" s="235"/>
      <c r="D94" s="234"/>
      <c r="E94" s="218"/>
      <c r="F94" s="179">
        <f>+E94*D94</f>
        <v>0</v>
      </c>
    </row>
    <row r="95" spans="2:8" ht="18" customHeight="1" thickBot="1" x14ac:dyDescent="0.3">
      <c r="B95" s="15" t="s">
        <v>553</v>
      </c>
      <c r="C95" s="235"/>
      <c r="D95" s="234"/>
      <c r="E95" s="218"/>
      <c r="F95" s="179">
        <f>+E95*D95</f>
        <v>0</v>
      </c>
    </row>
    <row r="96" spans="2:8" ht="18" customHeight="1" x14ac:dyDescent="0.25">
      <c r="B96" s="807" t="s">
        <v>554</v>
      </c>
      <c r="C96" s="808"/>
      <c r="D96" s="808"/>
      <c r="E96" s="808"/>
      <c r="F96" s="813">
        <f>SUM(F91:F95)</f>
        <v>0</v>
      </c>
      <c r="G96" s="817"/>
    </row>
    <row r="97" spans="2:7" ht="18" customHeight="1" thickBot="1" x14ac:dyDescent="0.3">
      <c r="B97" s="809"/>
      <c r="C97" s="810"/>
      <c r="D97" s="810"/>
      <c r="E97" s="810"/>
      <c r="F97" s="814"/>
      <c r="G97" s="817"/>
    </row>
    <row r="98" spans="2:7" x14ac:dyDescent="0.25">
      <c r="B98" s="180"/>
    </row>
  </sheetData>
  <mergeCells count="26">
    <mergeCell ref="C1:E1"/>
    <mergeCell ref="B8:F8"/>
    <mergeCell ref="B39:D40"/>
    <mergeCell ref="F39:F40"/>
    <mergeCell ref="B7:E7"/>
    <mergeCell ref="G96:G97"/>
    <mergeCell ref="G39:G40"/>
    <mergeCell ref="G54:G55"/>
    <mergeCell ref="G61:G62"/>
    <mergeCell ref="G68:G69"/>
    <mergeCell ref="G87:G88"/>
    <mergeCell ref="C41:F41"/>
    <mergeCell ref="B54:D55"/>
    <mergeCell ref="F54:F55"/>
    <mergeCell ref="B56:F56"/>
    <mergeCell ref="B96:E97"/>
    <mergeCell ref="F96:F97"/>
    <mergeCell ref="C70:F70"/>
    <mergeCell ref="B87:D88"/>
    <mergeCell ref="F87:F88"/>
    <mergeCell ref="B89:F89"/>
    <mergeCell ref="B61:D62"/>
    <mergeCell ref="F61:F62"/>
    <mergeCell ref="B63:F63"/>
    <mergeCell ref="B68:D69"/>
    <mergeCell ref="F68:F69"/>
  </mergeCells>
  <phoneticPr fontId="0" type="noConversion"/>
  <printOptions horizontalCentered="1"/>
  <pageMargins left="0.78740157480314965" right="0.39370078740157483" top="0.39370078740157483" bottom="0.39370078740157483" header="0" footer="0"/>
  <pageSetup paperSize="9" scale="59" fitToHeight="0" orientation="portrait" r:id="rId1"/>
  <headerFooter alignWithMargins="0">
    <oddFooter>&amp;L&amp;P - &amp;N CONFIDENCIAL&amp;C&amp;D&amp;R&amp;F - &amp;A</oddFooter>
  </headerFooter>
  <rowBreaks count="1" manualBreakCount="1">
    <brk id="62" min="1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123"/>
  <sheetViews>
    <sheetView showGridLines="0" view="pageBreakPreview" topLeftCell="A16" zoomScale="75" zoomScaleNormal="50" workbookViewId="0">
      <selection activeCell="D12" sqref="D12"/>
    </sheetView>
  </sheetViews>
  <sheetFormatPr baseColWidth="10" defaultColWidth="11.44140625" defaultRowHeight="13.2" x14ac:dyDescent="0.25"/>
  <cols>
    <col min="1" max="1" width="3.44140625" customWidth="1"/>
    <col min="2" max="2" width="21.44140625" bestFit="1" customWidth="1"/>
    <col min="3" max="3" width="79" customWidth="1"/>
    <col min="4" max="4" width="20.33203125" style="28" bestFit="1" customWidth="1"/>
    <col min="5" max="5" width="16.5546875" bestFit="1" customWidth="1"/>
    <col min="6" max="6" width="21.6640625" customWidth="1"/>
    <col min="7" max="7" width="15.6640625" customWidth="1"/>
    <col min="8" max="8" width="5.6640625" bestFit="1" customWidth="1"/>
    <col min="9" max="9" width="2.33203125" bestFit="1" customWidth="1"/>
    <col min="10" max="10" width="4.109375" bestFit="1" customWidth="1"/>
    <col min="11" max="11" width="3.109375" bestFit="1" customWidth="1"/>
    <col min="12" max="12" width="5.33203125" bestFit="1" customWidth="1"/>
    <col min="13" max="13" width="10.33203125" bestFit="1" customWidth="1"/>
    <col min="16" max="16" width="5.109375" bestFit="1" customWidth="1"/>
    <col min="17" max="17" width="2" bestFit="1" customWidth="1"/>
    <col min="19" max="19" width="3.109375" bestFit="1" customWidth="1"/>
    <col min="20" max="20" width="17" bestFit="1" customWidth="1"/>
  </cols>
  <sheetData>
    <row r="1" spans="2:6" s="4" customFormat="1" ht="30" customHeight="1" x14ac:dyDescent="0.4">
      <c r="B1" s="821" t="s">
        <v>555</v>
      </c>
      <c r="C1" s="613"/>
      <c r="D1" s="613"/>
      <c r="E1" s="613"/>
      <c r="F1" s="31"/>
    </row>
    <row r="2" spans="2:6" s="4" customFormat="1" ht="10.5" customHeight="1" x14ac:dyDescent="0.4">
      <c r="B2" s="205"/>
      <c r="C2" s="205"/>
      <c r="D2" s="205"/>
      <c r="E2" s="205"/>
      <c r="F2" s="19"/>
    </row>
    <row r="3" spans="2:6" s="4" customFormat="1" x14ac:dyDescent="0.25">
      <c r="B3" s="595" t="s">
        <v>54</v>
      </c>
      <c r="C3" s="559" t="str">
        <f>'Sintesis Economica'!C2</f>
        <v>PAMPA</v>
      </c>
      <c r="D3" s="559"/>
      <c r="E3" s="3" t="s">
        <v>113</v>
      </c>
      <c r="F3" s="19" t="str">
        <f>'Sintesis Economica'!J2</f>
        <v>SHM</v>
      </c>
    </row>
    <row r="4" spans="2:6" s="4" customFormat="1" x14ac:dyDescent="0.25">
      <c r="B4" s="595" t="s">
        <v>114</v>
      </c>
      <c r="C4" s="559" t="str">
        <f>'Sintesis Economica'!C3</f>
        <v>PAMPA SERVICIOS MENORES CIVILES</v>
      </c>
      <c r="D4" s="559"/>
      <c r="E4" s="3" t="s">
        <v>115</v>
      </c>
      <c r="F4" s="19" t="str">
        <f>'Sintesis Economica'!J3</f>
        <v>SHM</v>
      </c>
    </row>
    <row r="5" spans="2:6" s="4" customFormat="1" x14ac:dyDescent="0.25">
      <c r="B5" s="595" t="s">
        <v>231</v>
      </c>
      <c r="C5" s="559" t="str">
        <f>'Sintesis Economica'!C5</f>
        <v>Nº LICITACIÓN: SIN</v>
      </c>
      <c r="D5" s="559"/>
      <c r="E5" s="3" t="s">
        <v>58</v>
      </c>
      <c r="F5" s="19">
        <f>'Sintesis Economica'!J4</f>
        <v>0</v>
      </c>
    </row>
    <row r="6" spans="2:6" s="4" customFormat="1" ht="13.8" thickBot="1" x14ac:dyDescent="0.3">
      <c r="B6" s="596" t="s">
        <v>61</v>
      </c>
      <c r="C6" s="561" t="str">
        <f>'Sintesis Economica'!C6</f>
        <v>PRE-ARG-1340</v>
      </c>
      <c r="D6" s="562"/>
      <c r="E6" s="22"/>
      <c r="F6" s="23"/>
    </row>
    <row r="7" spans="2:6" ht="24" customHeight="1" thickBot="1" x14ac:dyDescent="0.35">
      <c r="B7" s="818" t="s">
        <v>556</v>
      </c>
      <c r="C7" s="819"/>
      <c r="D7" s="819"/>
      <c r="E7" s="820"/>
      <c r="F7" s="41">
        <f>+F26+F47+F68+F89+F110</f>
        <v>100000</v>
      </c>
    </row>
    <row r="8" spans="2:6" ht="17.399999999999999" x14ac:dyDescent="0.25">
      <c r="B8" s="800" t="s">
        <v>557</v>
      </c>
      <c r="C8" s="801"/>
      <c r="D8" s="801"/>
      <c r="E8" s="801"/>
      <c r="F8" s="802"/>
    </row>
    <row r="9" spans="2:6" x14ac:dyDescent="0.25">
      <c r="B9" s="189" t="s">
        <v>412</v>
      </c>
      <c r="C9" s="35" t="s">
        <v>18</v>
      </c>
      <c r="D9" s="35" t="s">
        <v>413</v>
      </c>
      <c r="E9" s="35" t="s">
        <v>415</v>
      </c>
      <c r="F9" s="35" t="s">
        <v>416</v>
      </c>
    </row>
    <row r="10" spans="2:6" ht="15" x14ac:dyDescent="0.25">
      <c r="B10" s="15" t="s">
        <v>558</v>
      </c>
      <c r="C10" s="225" t="s">
        <v>850</v>
      </c>
      <c r="D10" s="220">
        <v>50000</v>
      </c>
      <c r="E10" s="218">
        <v>1</v>
      </c>
      <c r="F10" s="176">
        <f>+E10*D10</f>
        <v>50000</v>
      </c>
    </row>
    <row r="11" spans="2:6" ht="15" x14ac:dyDescent="0.25">
      <c r="B11" s="15" t="s">
        <v>559</v>
      </c>
      <c r="C11" s="225" t="s">
        <v>560</v>
      </c>
      <c r="D11" s="220">
        <v>50000</v>
      </c>
      <c r="E11" s="218">
        <v>1</v>
      </c>
      <c r="F11" s="176">
        <f t="shared" ref="F11:F25" si="0">+E11*D11</f>
        <v>50000</v>
      </c>
    </row>
    <row r="12" spans="2:6" ht="15" x14ac:dyDescent="0.25">
      <c r="B12" s="15" t="s">
        <v>561</v>
      </c>
      <c r="C12" s="225"/>
      <c r="D12" s="220"/>
      <c r="E12" s="218"/>
      <c r="F12" s="176">
        <f t="shared" si="0"/>
        <v>0</v>
      </c>
    </row>
    <row r="13" spans="2:6" ht="15" x14ac:dyDescent="0.25">
      <c r="B13" s="15" t="s">
        <v>562</v>
      </c>
      <c r="C13" s="225"/>
      <c r="D13" s="220"/>
      <c r="E13" s="218"/>
      <c r="F13" s="176">
        <f t="shared" si="0"/>
        <v>0</v>
      </c>
    </row>
    <row r="14" spans="2:6" ht="15" x14ac:dyDescent="0.25">
      <c r="B14" s="15" t="s">
        <v>563</v>
      </c>
      <c r="C14" s="225"/>
      <c r="D14" s="220"/>
      <c r="E14" s="218"/>
      <c r="F14" s="176">
        <f t="shared" si="0"/>
        <v>0</v>
      </c>
    </row>
    <row r="15" spans="2:6" ht="15" x14ac:dyDescent="0.25">
      <c r="B15" s="15" t="s">
        <v>564</v>
      </c>
      <c r="C15" s="225"/>
      <c r="D15" s="220"/>
      <c r="E15" s="218"/>
      <c r="F15" s="176">
        <f t="shared" si="0"/>
        <v>0</v>
      </c>
    </row>
    <row r="16" spans="2:6" ht="15" x14ac:dyDescent="0.25">
      <c r="B16" s="15" t="s">
        <v>565</v>
      </c>
      <c r="C16" s="225"/>
      <c r="D16" s="220"/>
      <c r="E16" s="218"/>
      <c r="F16" s="176">
        <f t="shared" si="0"/>
        <v>0</v>
      </c>
    </row>
    <row r="17" spans="2:7" ht="15" x14ac:dyDescent="0.25">
      <c r="B17" s="15" t="s">
        <v>566</v>
      </c>
      <c r="C17" s="225"/>
      <c r="D17" s="220"/>
      <c r="E17" s="218"/>
      <c r="F17" s="176">
        <f t="shared" si="0"/>
        <v>0</v>
      </c>
    </row>
    <row r="18" spans="2:7" ht="15" x14ac:dyDescent="0.25">
      <c r="B18" s="15" t="s">
        <v>567</v>
      </c>
      <c r="C18" s="225"/>
      <c r="D18" s="220"/>
      <c r="E18" s="218"/>
      <c r="F18" s="176">
        <f t="shared" si="0"/>
        <v>0</v>
      </c>
    </row>
    <row r="19" spans="2:7" ht="15" x14ac:dyDescent="0.25">
      <c r="B19" s="15" t="s">
        <v>568</v>
      </c>
      <c r="C19" s="225"/>
      <c r="D19" s="220"/>
      <c r="E19" s="218"/>
      <c r="F19" s="176">
        <f t="shared" si="0"/>
        <v>0</v>
      </c>
    </row>
    <row r="20" spans="2:7" ht="15" x14ac:dyDescent="0.25">
      <c r="B20" s="15" t="s">
        <v>569</v>
      </c>
      <c r="C20" s="225"/>
      <c r="D20" s="220"/>
      <c r="E20" s="218"/>
      <c r="F20" s="176">
        <f t="shared" si="0"/>
        <v>0</v>
      </c>
    </row>
    <row r="21" spans="2:7" ht="15" x14ac:dyDescent="0.25">
      <c r="B21" s="15" t="s">
        <v>570</v>
      </c>
      <c r="C21" s="225"/>
      <c r="D21" s="220"/>
      <c r="E21" s="218"/>
      <c r="F21" s="176">
        <f t="shared" si="0"/>
        <v>0</v>
      </c>
    </row>
    <row r="22" spans="2:7" ht="15" x14ac:dyDescent="0.25">
      <c r="B22" s="15" t="s">
        <v>571</v>
      </c>
      <c r="C22" s="225"/>
      <c r="D22" s="220"/>
      <c r="E22" s="218"/>
      <c r="F22" s="176">
        <f t="shared" si="0"/>
        <v>0</v>
      </c>
    </row>
    <row r="23" spans="2:7" ht="15" x14ac:dyDescent="0.25">
      <c r="B23" s="15" t="s">
        <v>572</v>
      </c>
      <c r="C23" s="225"/>
      <c r="D23" s="220"/>
      <c r="E23" s="218"/>
      <c r="F23" s="176">
        <f t="shared" si="0"/>
        <v>0</v>
      </c>
    </row>
    <row r="24" spans="2:7" ht="15" x14ac:dyDescent="0.25">
      <c r="B24" s="15" t="s">
        <v>573</v>
      </c>
      <c r="C24" s="225"/>
      <c r="D24" s="220"/>
      <c r="E24" s="218"/>
      <c r="F24" s="176">
        <f t="shared" si="0"/>
        <v>0</v>
      </c>
    </row>
    <row r="25" spans="2:7" ht="15.6" thickBot="1" x14ac:dyDescent="0.3">
      <c r="B25" s="15" t="s">
        <v>574</v>
      </c>
      <c r="C25" s="225"/>
      <c r="D25" s="220"/>
      <c r="E25" s="218"/>
      <c r="F25" s="176">
        <f t="shared" si="0"/>
        <v>0</v>
      </c>
    </row>
    <row r="26" spans="2:7" x14ac:dyDescent="0.25">
      <c r="B26" s="807" t="s">
        <v>575</v>
      </c>
      <c r="C26" s="808"/>
      <c r="D26" s="808"/>
      <c r="E26" s="37"/>
      <c r="F26" s="811">
        <f>SUM(F10:F25)</f>
        <v>100000</v>
      </c>
    </row>
    <row r="27" spans="2:7" ht="13.8" thickBot="1" x14ac:dyDescent="0.3">
      <c r="B27" s="809"/>
      <c r="C27" s="810"/>
      <c r="D27" s="810"/>
      <c r="E27" s="38"/>
      <c r="F27" s="812"/>
    </row>
    <row r="28" spans="2:7" ht="13.8" thickBot="1" x14ac:dyDescent="0.3"/>
    <row r="29" spans="2:7" ht="17.399999999999999" x14ac:dyDescent="0.25">
      <c r="B29" s="800" t="s">
        <v>576</v>
      </c>
      <c r="C29" s="801"/>
      <c r="D29" s="801"/>
      <c r="E29" s="801"/>
      <c r="F29" s="802"/>
    </row>
    <row r="30" spans="2:7" x14ac:dyDescent="0.25">
      <c r="B30" s="189" t="s">
        <v>412</v>
      </c>
      <c r="C30" s="35" t="s">
        <v>18</v>
      </c>
      <c r="D30" s="35" t="s">
        <v>413</v>
      </c>
      <c r="E30" s="35" t="s">
        <v>415</v>
      </c>
      <c r="F30" s="35" t="s">
        <v>416</v>
      </c>
    </row>
    <row r="31" spans="2:7" ht="15" x14ac:dyDescent="0.25">
      <c r="B31" s="15" t="s">
        <v>577</v>
      </c>
      <c r="C31" s="225"/>
      <c r="D31" s="220"/>
      <c r="E31" s="218"/>
      <c r="F31" s="176">
        <f t="shared" ref="F31:F46" si="1">+E31*D31</f>
        <v>0</v>
      </c>
      <c r="G31" s="28">
        <v>0</v>
      </c>
    </row>
    <row r="32" spans="2:7" ht="15" x14ac:dyDescent="0.25">
      <c r="B32" s="15" t="s">
        <v>578</v>
      </c>
      <c r="C32" s="225"/>
      <c r="D32" s="220"/>
      <c r="E32" s="347"/>
      <c r="F32" s="176">
        <f t="shared" si="1"/>
        <v>0</v>
      </c>
    </row>
    <row r="33" spans="2:6" ht="15" x14ac:dyDescent="0.25">
      <c r="B33" s="15" t="s">
        <v>579</v>
      </c>
      <c r="C33" s="225"/>
      <c r="D33" s="220"/>
      <c r="E33" s="218"/>
      <c r="F33" s="176">
        <f t="shared" si="1"/>
        <v>0</v>
      </c>
    </row>
    <row r="34" spans="2:6" ht="15" x14ac:dyDescent="0.25">
      <c r="B34" s="15" t="s">
        <v>580</v>
      </c>
      <c r="C34" s="225"/>
      <c r="D34" s="220"/>
      <c r="E34" s="218"/>
      <c r="F34" s="176">
        <f t="shared" si="1"/>
        <v>0</v>
      </c>
    </row>
    <row r="35" spans="2:6" ht="15" x14ac:dyDescent="0.25">
      <c r="B35" s="15" t="s">
        <v>581</v>
      </c>
      <c r="C35" s="225"/>
      <c r="D35" s="220"/>
      <c r="E35" s="218"/>
      <c r="F35" s="176">
        <f t="shared" si="1"/>
        <v>0</v>
      </c>
    </row>
    <row r="36" spans="2:6" ht="15" x14ac:dyDescent="0.25">
      <c r="B36" s="15" t="s">
        <v>582</v>
      </c>
      <c r="C36" s="225"/>
      <c r="D36" s="220"/>
      <c r="E36" s="218"/>
      <c r="F36" s="176">
        <f t="shared" si="1"/>
        <v>0</v>
      </c>
    </row>
    <row r="37" spans="2:6" ht="15" x14ac:dyDescent="0.25">
      <c r="B37" s="15" t="s">
        <v>583</v>
      </c>
      <c r="C37" s="225"/>
      <c r="D37" s="220"/>
      <c r="E37" s="218"/>
      <c r="F37" s="176">
        <f t="shared" si="1"/>
        <v>0</v>
      </c>
    </row>
    <row r="38" spans="2:6" ht="15" x14ac:dyDescent="0.25">
      <c r="B38" s="15" t="s">
        <v>584</v>
      </c>
      <c r="C38" s="225"/>
      <c r="D38" s="220"/>
      <c r="E38" s="218"/>
      <c r="F38" s="176">
        <f t="shared" si="1"/>
        <v>0</v>
      </c>
    </row>
    <row r="39" spans="2:6" ht="15" x14ac:dyDescent="0.25">
      <c r="B39" s="15" t="s">
        <v>585</v>
      </c>
      <c r="C39" s="225"/>
      <c r="D39" s="220"/>
      <c r="E39" s="218"/>
      <c r="F39" s="176">
        <f t="shared" si="1"/>
        <v>0</v>
      </c>
    </row>
    <row r="40" spans="2:6" ht="15" x14ac:dyDescent="0.25">
      <c r="B40" s="15" t="s">
        <v>586</v>
      </c>
      <c r="C40" s="225"/>
      <c r="D40" s="220"/>
      <c r="E40" s="218"/>
      <c r="F40" s="176">
        <f t="shared" si="1"/>
        <v>0</v>
      </c>
    </row>
    <row r="41" spans="2:6" ht="15" x14ac:dyDescent="0.25">
      <c r="B41" s="15" t="s">
        <v>587</v>
      </c>
      <c r="C41" s="225"/>
      <c r="D41" s="220"/>
      <c r="E41" s="218"/>
      <c r="F41" s="176">
        <f t="shared" si="1"/>
        <v>0</v>
      </c>
    </row>
    <row r="42" spans="2:6" ht="15" x14ac:dyDescent="0.25">
      <c r="B42" s="15" t="s">
        <v>588</v>
      </c>
      <c r="C42" s="225"/>
      <c r="D42" s="220"/>
      <c r="E42" s="218"/>
      <c r="F42" s="176">
        <f t="shared" si="1"/>
        <v>0</v>
      </c>
    </row>
    <row r="43" spans="2:6" ht="15" x14ac:dyDescent="0.25">
      <c r="B43" s="15" t="s">
        <v>589</v>
      </c>
      <c r="C43" s="225"/>
      <c r="D43" s="220"/>
      <c r="E43" s="218"/>
      <c r="F43" s="176">
        <f t="shared" si="1"/>
        <v>0</v>
      </c>
    </row>
    <row r="44" spans="2:6" ht="15" x14ac:dyDescent="0.25">
      <c r="B44" s="15" t="s">
        <v>590</v>
      </c>
      <c r="C44" s="225"/>
      <c r="D44" s="220"/>
      <c r="E44" s="218"/>
      <c r="F44" s="176">
        <f t="shared" si="1"/>
        <v>0</v>
      </c>
    </row>
    <row r="45" spans="2:6" ht="15" x14ac:dyDescent="0.25">
      <c r="B45" s="15" t="s">
        <v>591</v>
      </c>
      <c r="C45" s="225"/>
      <c r="D45" s="220"/>
      <c r="E45" s="218"/>
      <c r="F45" s="176">
        <f t="shared" si="1"/>
        <v>0</v>
      </c>
    </row>
    <row r="46" spans="2:6" ht="15.6" thickBot="1" x14ac:dyDescent="0.3">
      <c r="B46" s="15" t="s">
        <v>592</v>
      </c>
      <c r="C46" s="225"/>
      <c r="D46" s="220"/>
      <c r="E46" s="218"/>
      <c r="F46" s="176">
        <f t="shared" si="1"/>
        <v>0</v>
      </c>
    </row>
    <row r="47" spans="2:6" x14ac:dyDescent="0.25">
      <c r="B47" s="807" t="s">
        <v>593</v>
      </c>
      <c r="C47" s="808"/>
      <c r="D47" s="808"/>
      <c r="E47" s="37"/>
      <c r="F47" s="811">
        <f>SUM(F31:F46)</f>
        <v>0</v>
      </c>
    </row>
    <row r="48" spans="2:6" ht="13.8" thickBot="1" x14ac:dyDescent="0.3">
      <c r="B48" s="809"/>
      <c r="C48" s="810"/>
      <c r="D48" s="810"/>
      <c r="E48" s="38"/>
      <c r="F48" s="812"/>
    </row>
    <row r="49" spans="2:6" ht="13.8" thickBot="1" x14ac:dyDescent="0.3"/>
    <row r="50" spans="2:6" ht="17.399999999999999" x14ac:dyDescent="0.25">
      <c r="B50" s="800" t="s">
        <v>594</v>
      </c>
      <c r="C50" s="801"/>
      <c r="D50" s="801"/>
      <c r="E50" s="801"/>
      <c r="F50" s="802"/>
    </row>
    <row r="51" spans="2:6" x14ac:dyDescent="0.25">
      <c r="B51" s="189" t="s">
        <v>412</v>
      </c>
      <c r="C51" s="35" t="s">
        <v>18</v>
      </c>
      <c r="D51" s="35" t="s">
        <v>413</v>
      </c>
      <c r="E51" s="35" t="s">
        <v>415</v>
      </c>
      <c r="F51" s="35" t="s">
        <v>416</v>
      </c>
    </row>
    <row r="52" spans="2:6" ht="15" x14ac:dyDescent="0.25">
      <c r="B52" s="15" t="s">
        <v>595</v>
      </c>
      <c r="C52" s="225"/>
      <c r="D52" s="220"/>
      <c r="E52" s="218"/>
      <c r="F52" s="176">
        <f t="shared" ref="F52:F67" si="2">+E52*D52</f>
        <v>0</v>
      </c>
    </row>
    <row r="53" spans="2:6" ht="15.6" x14ac:dyDescent="0.25">
      <c r="B53" s="15" t="s">
        <v>596</v>
      </c>
      <c r="C53" s="345"/>
      <c r="D53" s="220"/>
      <c r="E53" s="218"/>
      <c r="F53" s="176">
        <f t="shared" si="2"/>
        <v>0</v>
      </c>
    </row>
    <row r="54" spans="2:6" ht="15" x14ac:dyDescent="0.25">
      <c r="B54" s="15" t="s">
        <v>597</v>
      </c>
      <c r="C54" s="225"/>
      <c r="D54" s="220"/>
      <c r="E54" s="218"/>
      <c r="F54" s="176">
        <f t="shared" si="2"/>
        <v>0</v>
      </c>
    </row>
    <row r="55" spans="2:6" ht="15" x14ac:dyDescent="0.25">
      <c r="B55" s="15" t="s">
        <v>598</v>
      </c>
      <c r="C55" s="225"/>
      <c r="D55" s="220"/>
      <c r="E55" s="218"/>
      <c r="F55" s="176">
        <f t="shared" si="2"/>
        <v>0</v>
      </c>
    </row>
    <row r="56" spans="2:6" ht="15" x14ac:dyDescent="0.25">
      <c r="B56" s="15" t="s">
        <v>599</v>
      </c>
      <c r="C56" s="225"/>
      <c r="D56" s="220"/>
      <c r="E56" s="218"/>
      <c r="F56" s="176">
        <f t="shared" si="2"/>
        <v>0</v>
      </c>
    </row>
    <row r="57" spans="2:6" ht="15" x14ac:dyDescent="0.25">
      <c r="B57" s="15" t="s">
        <v>600</v>
      </c>
      <c r="C57" s="225"/>
      <c r="D57" s="220"/>
      <c r="E57" s="218"/>
      <c r="F57" s="176">
        <f t="shared" si="2"/>
        <v>0</v>
      </c>
    </row>
    <row r="58" spans="2:6" ht="15" x14ac:dyDescent="0.25">
      <c r="B58" s="15" t="s">
        <v>601</v>
      </c>
      <c r="C58" s="225"/>
      <c r="D58" s="220"/>
      <c r="E58" s="218"/>
      <c r="F58" s="176">
        <f t="shared" si="2"/>
        <v>0</v>
      </c>
    </row>
    <row r="59" spans="2:6" ht="15" x14ac:dyDescent="0.25">
      <c r="B59" s="15" t="s">
        <v>602</v>
      </c>
      <c r="C59" s="225"/>
      <c r="D59" s="220"/>
      <c r="E59" s="218"/>
      <c r="F59" s="176">
        <f t="shared" si="2"/>
        <v>0</v>
      </c>
    </row>
    <row r="60" spans="2:6" ht="15" x14ac:dyDescent="0.25">
      <c r="B60" s="15" t="s">
        <v>603</v>
      </c>
      <c r="C60" s="225"/>
      <c r="D60" s="220"/>
      <c r="E60" s="218"/>
      <c r="F60" s="176">
        <f t="shared" si="2"/>
        <v>0</v>
      </c>
    </row>
    <row r="61" spans="2:6" ht="15" x14ac:dyDescent="0.25">
      <c r="B61" s="15" t="s">
        <v>604</v>
      </c>
      <c r="C61" s="225"/>
      <c r="D61" s="220"/>
      <c r="E61" s="218"/>
      <c r="F61" s="176">
        <f t="shared" si="2"/>
        <v>0</v>
      </c>
    </row>
    <row r="62" spans="2:6" ht="15" x14ac:dyDescent="0.25">
      <c r="B62" s="15" t="s">
        <v>605</v>
      </c>
      <c r="C62" s="225"/>
      <c r="D62" s="220"/>
      <c r="E62" s="218"/>
      <c r="F62" s="176">
        <f t="shared" si="2"/>
        <v>0</v>
      </c>
    </row>
    <row r="63" spans="2:6" ht="15" x14ac:dyDescent="0.25">
      <c r="B63" s="15" t="s">
        <v>606</v>
      </c>
      <c r="C63" s="225"/>
      <c r="D63" s="220"/>
      <c r="E63" s="218"/>
      <c r="F63" s="176">
        <f t="shared" si="2"/>
        <v>0</v>
      </c>
    </row>
    <row r="64" spans="2:6" ht="15" x14ac:dyDescent="0.25">
      <c r="B64" s="15" t="s">
        <v>607</v>
      </c>
      <c r="C64" s="225"/>
      <c r="D64" s="220"/>
      <c r="E64" s="218"/>
      <c r="F64" s="176">
        <f t="shared" si="2"/>
        <v>0</v>
      </c>
    </row>
    <row r="65" spans="2:6" ht="15.6" x14ac:dyDescent="0.25">
      <c r="B65" s="15" t="s">
        <v>608</v>
      </c>
      <c r="C65" s="345"/>
      <c r="D65" s="220"/>
      <c r="E65" s="218"/>
      <c r="F65" s="176">
        <f t="shared" si="2"/>
        <v>0</v>
      </c>
    </row>
    <row r="66" spans="2:6" ht="15.6" x14ac:dyDescent="0.25">
      <c r="B66" s="15" t="s">
        <v>609</v>
      </c>
      <c r="C66" s="346"/>
      <c r="D66" s="220"/>
      <c r="E66" s="218"/>
      <c r="F66" s="176">
        <f t="shared" si="2"/>
        <v>0</v>
      </c>
    </row>
    <row r="67" spans="2:6" ht="15.6" thickBot="1" x14ac:dyDescent="0.3">
      <c r="B67" s="15" t="s">
        <v>610</v>
      </c>
      <c r="C67" s="225"/>
      <c r="D67" s="220"/>
      <c r="E67" s="218"/>
      <c r="F67" s="176">
        <f t="shared" si="2"/>
        <v>0</v>
      </c>
    </row>
    <row r="68" spans="2:6" x14ac:dyDescent="0.25">
      <c r="B68" s="807" t="s">
        <v>611</v>
      </c>
      <c r="C68" s="808"/>
      <c r="D68" s="808"/>
      <c r="E68" s="37"/>
      <c r="F68" s="811">
        <f>SUM(F52:F67)</f>
        <v>0</v>
      </c>
    </row>
    <row r="69" spans="2:6" ht="13.8" thickBot="1" x14ac:dyDescent="0.3">
      <c r="B69" s="809"/>
      <c r="C69" s="810"/>
      <c r="D69" s="810"/>
      <c r="E69" s="38"/>
      <c r="F69" s="812"/>
    </row>
    <row r="70" spans="2:6" ht="13.8" thickBot="1" x14ac:dyDescent="0.3"/>
    <row r="71" spans="2:6" ht="17.399999999999999" x14ac:dyDescent="0.25">
      <c r="B71" s="800" t="s">
        <v>612</v>
      </c>
      <c r="C71" s="801"/>
      <c r="D71" s="801"/>
      <c r="E71" s="801"/>
      <c r="F71" s="802"/>
    </row>
    <row r="72" spans="2:6" x14ac:dyDescent="0.25">
      <c r="B72" s="189" t="s">
        <v>412</v>
      </c>
      <c r="C72" s="35" t="s">
        <v>18</v>
      </c>
      <c r="D72" s="35" t="s">
        <v>413</v>
      </c>
      <c r="E72" s="35" t="s">
        <v>415</v>
      </c>
      <c r="F72" s="35" t="s">
        <v>416</v>
      </c>
    </row>
    <row r="73" spans="2:6" ht="15" x14ac:dyDescent="0.25">
      <c r="B73" s="15" t="s">
        <v>613</v>
      </c>
      <c r="C73" s="225"/>
      <c r="D73" s="220"/>
      <c r="E73" s="218"/>
      <c r="F73" s="176">
        <f>+E73*D73</f>
        <v>0</v>
      </c>
    </row>
    <row r="74" spans="2:6" ht="15" x14ac:dyDescent="0.25">
      <c r="B74" s="15" t="s">
        <v>614</v>
      </c>
      <c r="C74" s="225"/>
      <c r="D74" s="220"/>
      <c r="E74" s="218"/>
      <c r="F74" s="176">
        <f t="shared" ref="F74:F88" si="3">+E74*D74</f>
        <v>0</v>
      </c>
    </row>
    <row r="75" spans="2:6" ht="15" x14ac:dyDescent="0.25">
      <c r="B75" s="15" t="s">
        <v>615</v>
      </c>
      <c r="C75" s="225"/>
      <c r="D75" s="220"/>
      <c r="E75" s="218"/>
      <c r="F75" s="176">
        <f t="shared" si="3"/>
        <v>0</v>
      </c>
    </row>
    <row r="76" spans="2:6" ht="15" x14ac:dyDescent="0.25">
      <c r="B76" s="15" t="s">
        <v>616</v>
      </c>
      <c r="C76" s="225"/>
      <c r="D76" s="220"/>
      <c r="E76" s="218"/>
      <c r="F76" s="176">
        <f t="shared" si="3"/>
        <v>0</v>
      </c>
    </row>
    <row r="77" spans="2:6" ht="15" x14ac:dyDescent="0.25">
      <c r="B77" s="15" t="s">
        <v>617</v>
      </c>
      <c r="C77" s="225"/>
      <c r="D77" s="220"/>
      <c r="E77" s="218"/>
      <c r="F77" s="176">
        <f t="shared" si="3"/>
        <v>0</v>
      </c>
    </row>
    <row r="78" spans="2:6" ht="15" x14ac:dyDescent="0.25">
      <c r="B78" s="15" t="s">
        <v>618</v>
      </c>
      <c r="C78" s="225"/>
      <c r="D78" s="220"/>
      <c r="E78" s="218"/>
      <c r="F78" s="176">
        <f t="shared" si="3"/>
        <v>0</v>
      </c>
    </row>
    <row r="79" spans="2:6" ht="15" x14ac:dyDescent="0.25">
      <c r="B79" s="15" t="s">
        <v>619</v>
      </c>
      <c r="C79" s="225"/>
      <c r="D79" s="220"/>
      <c r="E79" s="218"/>
      <c r="F79" s="176">
        <f t="shared" si="3"/>
        <v>0</v>
      </c>
    </row>
    <row r="80" spans="2:6" ht="15" x14ac:dyDescent="0.25">
      <c r="B80" s="15" t="s">
        <v>620</v>
      </c>
      <c r="C80" s="225"/>
      <c r="D80" s="220"/>
      <c r="E80" s="218"/>
      <c r="F80" s="176">
        <f t="shared" si="3"/>
        <v>0</v>
      </c>
    </row>
    <row r="81" spans="2:7" ht="15" x14ac:dyDescent="0.25">
      <c r="B81" s="15" t="s">
        <v>621</v>
      </c>
      <c r="C81" s="225"/>
      <c r="D81" s="220"/>
      <c r="E81" s="218"/>
      <c r="F81" s="176">
        <f t="shared" si="3"/>
        <v>0</v>
      </c>
    </row>
    <row r="82" spans="2:7" ht="15" x14ac:dyDescent="0.25">
      <c r="B82" s="15" t="s">
        <v>622</v>
      </c>
      <c r="C82" s="225"/>
      <c r="D82" s="220"/>
      <c r="E82" s="218"/>
      <c r="F82" s="176">
        <f t="shared" si="3"/>
        <v>0</v>
      </c>
    </row>
    <row r="83" spans="2:7" ht="15" x14ac:dyDescent="0.25">
      <c r="B83" s="15" t="s">
        <v>623</v>
      </c>
      <c r="C83" s="225"/>
      <c r="D83" s="220"/>
      <c r="E83" s="218"/>
      <c r="F83" s="176">
        <f t="shared" si="3"/>
        <v>0</v>
      </c>
    </row>
    <row r="84" spans="2:7" ht="15" x14ac:dyDescent="0.25">
      <c r="B84" s="15" t="s">
        <v>624</v>
      </c>
      <c r="C84" s="225"/>
      <c r="D84" s="220"/>
      <c r="E84" s="218"/>
      <c r="F84" s="176">
        <f t="shared" si="3"/>
        <v>0</v>
      </c>
    </row>
    <row r="85" spans="2:7" ht="15" x14ac:dyDescent="0.25">
      <c r="B85" s="15" t="s">
        <v>625</v>
      </c>
      <c r="C85" s="225"/>
      <c r="D85" s="220"/>
      <c r="E85" s="218"/>
      <c r="F85" s="176">
        <f t="shared" si="3"/>
        <v>0</v>
      </c>
    </row>
    <row r="86" spans="2:7" ht="15" x14ac:dyDescent="0.25">
      <c r="B86" s="15" t="s">
        <v>626</v>
      </c>
      <c r="C86" s="225"/>
      <c r="D86" s="220"/>
      <c r="E86" s="218"/>
      <c r="F86" s="176">
        <f t="shared" si="3"/>
        <v>0</v>
      </c>
    </row>
    <row r="87" spans="2:7" ht="15" x14ac:dyDescent="0.25">
      <c r="B87" s="15" t="s">
        <v>627</v>
      </c>
      <c r="C87" s="225"/>
      <c r="D87" s="220"/>
      <c r="E87" s="218"/>
      <c r="F87" s="176">
        <f t="shared" si="3"/>
        <v>0</v>
      </c>
    </row>
    <row r="88" spans="2:7" ht="15.6" thickBot="1" x14ac:dyDescent="0.3">
      <c r="B88" s="15" t="s">
        <v>628</v>
      </c>
      <c r="C88" s="225"/>
      <c r="D88" s="220"/>
      <c r="E88" s="218"/>
      <c r="F88" s="176">
        <f t="shared" si="3"/>
        <v>0</v>
      </c>
    </row>
    <row r="89" spans="2:7" x14ac:dyDescent="0.25">
      <c r="B89" s="807" t="s">
        <v>629</v>
      </c>
      <c r="C89" s="808"/>
      <c r="D89" s="808"/>
      <c r="E89" s="37"/>
      <c r="F89" s="811">
        <f>SUM(F73:F88)</f>
        <v>0</v>
      </c>
    </row>
    <row r="90" spans="2:7" ht="13.8" thickBot="1" x14ac:dyDescent="0.3">
      <c r="B90" s="809"/>
      <c r="C90" s="810"/>
      <c r="D90" s="810"/>
      <c r="E90" s="38"/>
      <c r="F90" s="812"/>
    </row>
    <row r="91" spans="2:7" ht="13.8" thickBot="1" x14ac:dyDescent="0.3"/>
    <row r="92" spans="2:7" ht="17.399999999999999" x14ac:dyDescent="0.25">
      <c r="B92" s="800" t="s">
        <v>630</v>
      </c>
      <c r="C92" s="801"/>
      <c r="D92" s="801"/>
      <c r="E92" s="801"/>
      <c r="F92" s="802"/>
    </row>
    <row r="93" spans="2:7" x14ac:dyDescent="0.25">
      <c r="B93" s="189" t="s">
        <v>412</v>
      </c>
      <c r="C93" s="35" t="s">
        <v>18</v>
      </c>
      <c r="D93" s="35" t="s">
        <v>413</v>
      </c>
      <c r="E93" s="35" t="s">
        <v>415</v>
      </c>
      <c r="F93" s="35" t="s">
        <v>416</v>
      </c>
    </row>
    <row r="94" spans="2:7" ht="15" x14ac:dyDescent="0.25">
      <c r="B94" s="15" t="s">
        <v>631</v>
      </c>
      <c r="C94" s="225"/>
      <c r="D94" s="220"/>
      <c r="E94" s="218"/>
      <c r="F94" s="176">
        <f t="shared" ref="F94:F109" si="4">+E94*D94</f>
        <v>0</v>
      </c>
      <c r="G94" s="28">
        <v>0</v>
      </c>
    </row>
    <row r="95" spans="2:7" ht="15" x14ac:dyDescent="0.25">
      <c r="B95" s="15" t="s">
        <v>632</v>
      </c>
      <c r="C95" s="225"/>
      <c r="D95" s="220"/>
      <c r="E95" s="218"/>
      <c r="F95" s="176">
        <f t="shared" si="4"/>
        <v>0</v>
      </c>
    </row>
    <row r="96" spans="2:7" ht="15" x14ac:dyDescent="0.25">
      <c r="B96" s="15" t="s">
        <v>633</v>
      </c>
      <c r="C96" s="225"/>
      <c r="D96" s="220"/>
      <c r="E96" s="218"/>
      <c r="F96" s="176">
        <f t="shared" si="4"/>
        <v>0</v>
      </c>
    </row>
    <row r="97" spans="2:6" ht="15" x14ac:dyDescent="0.25">
      <c r="B97" s="15" t="s">
        <v>634</v>
      </c>
      <c r="C97" s="225"/>
      <c r="D97" s="220"/>
      <c r="E97" s="218"/>
      <c r="F97" s="176">
        <f t="shared" si="4"/>
        <v>0</v>
      </c>
    </row>
    <row r="98" spans="2:6" ht="15" x14ac:dyDescent="0.25">
      <c r="B98" s="15" t="s">
        <v>635</v>
      </c>
      <c r="C98" s="225"/>
      <c r="D98" s="220"/>
      <c r="E98" s="218"/>
      <c r="F98" s="176">
        <f t="shared" si="4"/>
        <v>0</v>
      </c>
    </row>
    <row r="99" spans="2:6" ht="15" x14ac:dyDescent="0.25">
      <c r="B99" s="15" t="s">
        <v>636</v>
      </c>
      <c r="C99" s="225"/>
      <c r="D99" s="220"/>
      <c r="E99" s="218"/>
      <c r="F99" s="176">
        <f t="shared" si="4"/>
        <v>0</v>
      </c>
    </row>
    <row r="100" spans="2:6" ht="15" x14ac:dyDescent="0.25">
      <c r="B100" s="15" t="s">
        <v>637</v>
      </c>
      <c r="C100" s="225"/>
      <c r="D100" s="220"/>
      <c r="E100" s="218"/>
      <c r="F100" s="176">
        <f t="shared" si="4"/>
        <v>0</v>
      </c>
    </row>
    <row r="101" spans="2:6" ht="15" x14ac:dyDescent="0.25">
      <c r="B101" s="15" t="s">
        <v>638</v>
      </c>
      <c r="C101" s="225"/>
      <c r="D101" s="220"/>
      <c r="E101" s="218"/>
      <c r="F101" s="176">
        <f t="shared" si="4"/>
        <v>0</v>
      </c>
    </row>
    <row r="102" spans="2:6" ht="15" x14ac:dyDescent="0.25">
      <c r="B102" s="15" t="s">
        <v>639</v>
      </c>
      <c r="C102" s="225"/>
      <c r="D102" s="220"/>
      <c r="E102" s="218"/>
      <c r="F102" s="176">
        <f t="shared" si="4"/>
        <v>0</v>
      </c>
    </row>
    <row r="103" spans="2:6" ht="15" x14ac:dyDescent="0.25">
      <c r="B103" s="15" t="s">
        <v>640</v>
      </c>
      <c r="C103" s="225"/>
      <c r="D103" s="220"/>
      <c r="E103" s="218"/>
      <c r="F103" s="176">
        <f t="shared" si="4"/>
        <v>0</v>
      </c>
    </row>
    <row r="104" spans="2:6" ht="15" x14ac:dyDescent="0.25">
      <c r="B104" s="15" t="s">
        <v>641</v>
      </c>
      <c r="C104" s="225"/>
      <c r="D104" s="220"/>
      <c r="E104" s="218"/>
      <c r="F104" s="176">
        <f t="shared" si="4"/>
        <v>0</v>
      </c>
    </row>
    <row r="105" spans="2:6" ht="15" x14ac:dyDescent="0.25">
      <c r="B105" s="15" t="s">
        <v>642</v>
      </c>
      <c r="C105" s="225"/>
      <c r="D105" s="220"/>
      <c r="E105" s="218"/>
      <c r="F105" s="176">
        <f t="shared" si="4"/>
        <v>0</v>
      </c>
    </row>
    <row r="106" spans="2:6" ht="15" x14ac:dyDescent="0.25">
      <c r="B106" s="15" t="s">
        <v>643</v>
      </c>
      <c r="C106" s="225"/>
      <c r="D106" s="220"/>
      <c r="E106" s="218"/>
      <c r="F106" s="176">
        <f t="shared" si="4"/>
        <v>0</v>
      </c>
    </row>
    <row r="107" spans="2:6" ht="15" x14ac:dyDescent="0.25">
      <c r="B107" s="15" t="s">
        <v>644</v>
      </c>
      <c r="C107" s="225"/>
      <c r="D107" s="220"/>
      <c r="E107" s="218"/>
      <c r="F107" s="176">
        <f t="shared" si="4"/>
        <v>0</v>
      </c>
    </row>
    <row r="108" spans="2:6" ht="15" x14ac:dyDescent="0.25">
      <c r="B108" s="15" t="s">
        <v>645</v>
      </c>
      <c r="C108" s="225"/>
      <c r="D108" s="220"/>
      <c r="E108" s="218"/>
      <c r="F108" s="176">
        <f t="shared" si="4"/>
        <v>0</v>
      </c>
    </row>
    <row r="109" spans="2:6" ht="15.6" thickBot="1" x14ac:dyDescent="0.3">
      <c r="B109" s="15" t="s">
        <v>646</v>
      </c>
      <c r="C109" s="225"/>
      <c r="D109" s="220"/>
      <c r="E109" s="218"/>
      <c r="F109" s="176">
        <f t="shared" si="4"/>
        <v>0</v>
      </c>
    </row>
    <row r="110" spans="2:6" x14ac:dyDescent="0.25">
      <c r="B110" s="807" t="s">
        <v>647</v>
      </c>
      <c r="C110" s="808"/>
      <c r="D110" s="808"/>
      <c r="E110" s="37"/>
      <c r="F110" s="811">
        <f>SUM(F94:F109)</f>
        <v>0</v>
      </c>
    </row>
    <row r="111" spans="2:6" ht="13.8" thickBot="1" x14ac:dyDescent="0.3">
      <c r="B111" s="809"/>
      <c r="C111" s="810"/>
      <c r="D111" s="810"/>
      <c r="E111" s="38"/>
      <c r="F111" s="812"/>
    </row>
    <row r="115" spans="2:23" x14ac:dyDescent="0.25">
      <c r="B115" s="826" t="s">
        <v>648</v>
      </c>
      <c r="C115" s="826"/>
      <c r="D115" s="826"/>
      <c r="E115" s="826"/>
      <c r="F115" s="826"/>
      <c r="G115" s="826"/>
      <c r="H115" s="826"/>
      <c r="I115" s="826"/>
      <c r="J115" s="826"/>
      <c r="K115" s="826"/>
      <c r="L115" s="826"/>
      <c r="M115" s="826"/>
      <c r="N115" s="826"/>
      <c r="O115" s="826"/>
      <c r="P115" s="826"/>
      <c r="Q115" s="826"/>
      <c r="R115" s="827">
        <f>+T117</f>
        <v>13599.36</v>
      </c>
      <c r="S115" s="827"/>
      <c r="T115" s="827"/>
      <c r="U115" s="822"/>
      <c r="V115" s="823"/>
      <c r="W115" s="97"/>
    </row>
    <row r="116" spans="2:23" x14ac:dyDescent="0.25">
      <c r="D116"/>
    </row>
    <row r="117" spans="2:23" x14ac:dyDescent="0.25">
      <c r="B117" s="597"/>
      <c r="C117" s="416">
        <v>3.5</v>
      </c>
      <c r="D117" s="598" t="s">
        <v>649</v>
      </c>
      <c r="E117" s="417">
        <v>8</v>
      </c>
      <c r="F117" s="597" t="s">
        <v>650</v>
      </c>
      <c r="G117" s="417">
        <v>3</v>
      </c>
      <c r="H117" s="597" t="s">
        <v>651</v>
      </c>
      <c r="I117" s="597">
        <v>3</v>
      </c>
      <c r="J117" s="597" t="s">
        <v>652</v>
      </c>
      <c r="K117" s="599">
        <v>4</v>
      </c>
      <c r="L117" s="597" t="s">
        <v>653</v>
      </c>
      <c r="M117" s="600">
        <v>32</v>
      </c>
      <c r="N117" s="597" t="s">
        <v>654</v>
      </c>
      <c r="O117" s="598">
        <v>1</v>
      </c>
      <c r="P117" s="597" t="s">
        <v>655</v>
      </c>
      <c r="Q117" s="597" t="s">
        <v>656</v>
      </c>
      <c r="R117" s="600">
        <f>+C117*E117*G117*I117*K117*M117*O117</f>
        <v>32256</v>
      </c>
      <c r="S117" s="824">
        <v>36</v>
      </c>
      <c r="T117" s="825">
        <f>+R122/S117</f>
        <v>13599.36</v>
      </c>
      <c r="U117" s="597"/>
      <c r="V117" s="597"/>
      <c r="W117" s="597"/>
    </row>
    <row r="118" spans="2:23" x14ac:dyDescent="0.25">
      <c r="C118" s="416">
        <f>+C117</f>
        <v>3.5</v>
      </c>
      <c r="D118" s="598" t="s">
        <v>649</v>
      </c>
      <c r="E118" s="417">
        <v>2</v>
      </c>
      <c r="F118" s="597" t="s">
        <v>650</v>
      </c>
      <c r="G118" s="417">
        <v>3</v>
      </c>
      <c r="H118" s="597" t="s">
        <v>651</v>
      </c>
      <c r="I118" s="597">
        <v>3</v>
      </c>
      <c r="J118" s="597" t="s">
        <v>652</v>
      </c>
      <c r="K118" s="599">
        <v>4</v>
      </c>
      <c r="L118" s="597" t="s">
        <v>653</v>
      </c>
      <c r="M118" s="600">
        <v>32</v>
      </c>
      <c r="N118" s="597" t="s">
        <v>654</v>
      </c>
      <c r="O118" s="601">
        <v>1.38</v>
      </c>
      <c r="P118" s="597" t="s">
        <v>655</v>
      </c>
      <c r="Q118" s="597" t="s">
        <v>656</v>
      </c>
      <c r="R118" s="600">
        <f>+C118*E118*G118*I118*K118*M118*O118</f>
        <v>11128.32</v>
      </c>
      <c r="S118" s="824"/>
      <c r="T118" s="825"/>
    </row>
    <row r="119" spans="2:23" x14ac:dyDescent="0.25">
      <c r="C119" s="416">
        <f>+C118</f>
        <v>3.5</v>
      </c>
      <c r="D119" s="598" t="s">
        <v>649</v>
      </c>
      <c r="E119" s="417">
        <v>2</v>
      </c>
      <c r="F119" s="597" t="s">
        <v>650</v>
      </c>
      <c r="G119" s="417">
        <v>3</v>
      </c>
      <c r="H119" s="597" t="s">
        <v>651</v>
      </c>
      <c r="I119" s="597">
        <v>3</v>
      </c>
      <c r="J119" s="597" t="s">
        <v>652</v>
      </c>
      <c r="K119" s="599">
        <v>4</v>
      </c>
      <c r="L119" s="597" t="s">
        <v>653</v>
      </c>
      <c r="M119" s="600">
        <v>32</v>
      </c>
      <c r="N119" s="597" t="s">
        <v>654</v>
      </c>
      <c r="O119" s="601">
        <v>1.76</v>
      </c>
      <c r="P119" s="597" t="s">
        <v>655</v>
      </c>
      <c r="Q119" s="597" t="s">
        <v>656</v>
      </c>
      <c r="R119" s="600">
        <f>+C119*E119*G119*I119*K119*M119*O119</f>
        <v>14192.64</v>
      </c>
      <c r="S119" s="824"/>
      <c r="T119" s="825"/>
    </row>
    <row r="120" spans="2:23" x14ac:dyDescent="0.25">
      <c r="D120"/>
      <c r="K120" s="599">
        <v>36</v>
      </c>
      <c r="L120" s="597" t="s">
        <v>653</v>
      </c>
      <c r="M120" s="600">
        <v>12000</v>
      </c>
      <c r="N120" s="597" t="s">
        <v>657</v>
      </c>
      <c r="Q120" s="597" t="s">
        <v>656</v>
      </c>
      <c r="R120" s="600">
        <f>+M120*K120</f>
        <v>432000</v>
      </c>
      <c r="S120" s="824"/>
      <c r="T120" s="825"/>
    </row>
    <row r="121" spans="2:23" x14ac:dyDescent="0.25">
      <c r="D121"/>
    </row>
    <row r="122" spans="2:23" x14ac:dyDescent="0.25">
      <c r="D122"/>
      <c r="R122" s="600">
        <f>+SUM(R117:R120)</f>
        <v>489576.96000000002</v>
      </c>
    </row>
    <row r="123" spans="2:23" x14ac:dyDescent="0.25">
      <c r="D123"/>
      <c r="R123" s="600">
        <f>+R122-D73</f>
        <v>489576.96000000002</v>
      </c>
    </row>
  </sheetData>
  <mergeCells count="23">
    <mergeCell ref="S117:S120"/>
    <mergeCell ref="T117:T120"/>
    <mergeCell ref="B115:O115"/>
    <mergeCell ref="P115:Q115"/>
    <mergeCell ref="R115:T115"/>
    <mergeCell ref="U115:V115"/>
    <mergeCell ref="B92:F92"/>
    <mergeCell ref="B110:D111"/>
    <mergeCell ref="F110:F111"/>
    <mergeCell ref="F26:F27"/>
    <mergeCell ref="B29:F29"/>
    <mergeCell ref="B47:D48"/>
    <mergeCell ref="F47:F48"/>
    <mergeCell ref="B50:F50"/>
    <mergeCell ref="B1:E1"/>
    <mergeCell ref="B8:F8"/>
    <mergeCell ref="B7:E7"/>
    <mergeCell ref="B89:D90"/>
    <mergeCell ref="F89:F90"/>
    <mergeCell ref="B26:D27"/>
    <mergeCell ref="B68:D69"/>
    <mergeCell ref="F68:F69"/>
    <mergeCell ref="B71:F71"/>
  </mergeCells>
  <phoneticPr fontId="0" type="noConversion"/>
  <printOptions horizontalCentered="1"/>
  <pageMargins left="0.78740157480314965" right="0.39370078740157483" top="0.39370078740157483" bottom="0.39370078740157483" header="0" footer="0"/>
  <pageSetup paperSize="9" scale="48" orientation="portrait" r:id="rId1"/>
  <headerFooter alignWithMargins="0">
    <oddFooter>&amp;L&amp;P - &amp;N CONFIDENCIAL&amp;C&amp;D&amp;R&amp;F -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P121"/>
  <sheetViews>
    <sheetView view="pageBreakPreview" topLeftCell="A75" zoomScale="75" zoomScaleNormal="50" workbookViewId="0">
      <selection activeCell="G65" sqref="G65"/>
    </sheetView>
  </sheetViews>
  <sheetFormatPr baseColWidth="10" defaultColWidth="11.44140625" defaultRowHeight="13.2" x14ac:dyDescent="0.25"/>
  <cols>
    <col min="1" max="1" width="6" style="4" customWidth="1"/>
    <col min="2" max="2" width="13.5546875" style="13" customWidth="1"/>
    <col min="3" max="3" width="104.44140625" style="4" customWidth="1"/>
    <col min="4" max="4" width="25.33203125" style="4" customWidth="1"/>
    <col min="5" max="5" width="10" style="13" customWidth="1"/>
    <col min="6" max="6" width="21.88671875" style="4" customWidth="1"/>
    <col min="7" max="7" width="14.88671875" style="4" customWidth="1"/>
    <col min="8" max="8" width="12" style="4" customWidth="1"/>
    <col min="9" max="9" width="21.33203125" style="4" customWidth="1"/>
    <col min="10" max="10" width="13" style="13" customWidth="1"/>
    <col min="11" max="11" width="22.5546875" style="4" bestFit="1" customWidth="1"/>
    <col min="12" max="12" width="5.109375" style="4" bestFit="1" customWidth="1"/>
    <col min="13" max="13" width="16.33203125" style="4" bestFit="1" customWidth="1"/>
    <col min="14" max="14" width="11.44140625" style="4"/>
    <col min="15" max="15" width="16.109375" style="4" bestFit="1" customWidth="1"/>
    <col min="16" max="16" width="19.88671875" style="4" bestFit="1" customWidth="1"/>
    <col min="17" max="16384" width="11.44140625" style="4"/>
  </cols>
  <sheetData>
    <row r="1" spans="2:14" ht="30" customHeight="1" x14ac:dyDescent="0.4">
      <c r="B1" s="821" t="s">
        <v>658</v>
      </c>
      <c r="C1" s="613"/>
      <c r="D1" s="613"/>
      <c r="E1" s="613"/>
      <c r="F1" s="613"/>
      <c r="G1" s="613"/>
      <c r="H1" s="613"/>
      <c r="I1" s="613"/>
      <c r="J1" s="613"/>
      <c r="K1" s="828"/>
    </row>
    <row r="2" spans="2:14" ht="10.5" customHeight="1" x14ac:dyDescent="0.4">
      <c r="B2" s="205"/>
      <c r="C2" s="205"/>
      <c r="D2" s="205"/>
      <c r="E2" s="205"/>
      <c r="F2" s="205"/>
      <c r="G2" s="205"/>
      <c r="H2" s="205"/>
      <c r="I2" s="205"/>
      <c r="J2" s="205"/>
      <c r="K2" s="208"/>
    </row>
    <row r="3" spans="2:14" ht="15" x14ac:dyDescent="0.25">
      <c r="B3" s="563" t="s">
        <v>659</v>
      </c>
      <c r="C3" s="559" t="str">
        <f>'Sintesis Economica'!C2</f>
        <v>PAMPA</v>
      </c>
      <c r="D3" s="559"/>
      <c r="E3" s="65"/>
      <c r="F3" s="18"/>
      <c r="J3" s="58" t="s">
        <v>312</v>
      </c>
      <c r="K3" s="19"/>
    </row>
    <row r="4" spans="2:14" ht="15" x14ac:dyDescent="0.25">
      <c r="B4" s="563" t="s">
        <v>660</v>
      </c>
      <c r="C4" s="559" t="str">
        <f>'Sintesis Economica'!C3</f>
        <v>PAMPA SERVICIOS MENORES CIVILES</v>
      </c>
      <c r="D4" s="559"/>
      <c r="E4" s="65"/>
      <c r="F4" s="18"/>
      <c r="I4" s="4" t="s">
        <v>661</v>
      </c>
      <c r="J4" s="4" t="str">
        <f>'Sintesis Economica'!J2</f>
        <v>SHM</v>
      </c>
      <c r="K4" s="19"/>
    </row>
    <row r="5" spans="2:14" ht="15" x14ac:dyDescent="0.25">
      <c r="B5" s="559" t="s">
        <v>231</v>
      </c>
      <c r="C5" s="559" t="str">
        <f>'Sintesis Economica'!C5</f>
        <v>Nº LICITACIÓN: SIN</v>
      </c>
      <c r="D5" s="559"/>
      <c r="E5" s="65"/>
      <c r="F5" s="18"/>
      <c r="I5" s="4" t="s">
        <v>115</v>
      </c>
      <c r="J5" s="4" t="str">
        <f>'Sintesis Economica'!J3</f>
        <v>SHM</v>
      </c>
      <c r="K5" s="19"/>
    </row>
    <row r="6" spans="2:14" ht="15" x14ac:dyDescent="0.25">
      <c r="B6" s="563" t="s">
        <v>61</v>
      </c>
      <c r="C6" s="602" t="str">
        <f>'Sintesis Economica'!C6</f>
        <v>PRE-ARG-1340</v>
      </c>
      <c r="D6" s="559"/>
      <c r="E6" s="65"/>
      <c r="F6" s="18"/>
      <c r="I6" s="4" t="s">
        <v>58</v>
      </c>
      <c r="J6" s="4">
        <f>'Sintesis Economica'!J4</f>
        <v>0</v>
      </c>
      <c r="K6" s="19"/>
    </row>
    <row r="7" spans="2:14" ht="15.6" thickBot="1" x14ac:dyDescent="0.3">
      <c r="B7" s="20"/>
      <c r="C7" s="562"/>
      <c r="D7" s="562"/>
      <c r="E7" s="603"/>
      <c r="F7" s="21"/>
      <c r="G7" s="22"/>
      <c r="H7" s="22"/>
      <c r="I7" s="22"/>
      <c r="J7" s="59"/>
      <c r="K7" s="23"/>
    </row>
    <row r="8" spans="2:14" ht="22.5" customHeight="1" thickBot="1" x14ac:dyDescent="0.65">
      <c r="B8" s="829" t="s">
        <v>662</v>
      </c>
      <c r="C8" s="830"/>
      <c r="D8" s="830"/>
      <c r="E8" s="830"/>
      <c r="F8" s="830"/>
      <c r="G8" s="830"/>
      <c r="H8" s="830"/>
      <c r="I8" s="831"/>
      <c r="J8" s="832">
        <f>(K10+K23+K36+K49+K62+K75)</f>
        <v>3906741.7553004646</v>
      </c>
      <c r="K8" s="833"/>
    </row>
    <row r="9" spans="2:14" s="24" customFormat="1" ht="39.6" x14ac:dyDescent="0.25">
      <c r="B9" s="107" t="s">
        <v>412</v>
      </c>
      <c r="C9" s="604" t="s">
        <v>663</v>
      </c>
      <c r="D9" s="604" t="s">
        <v>664</v>
      </c>
      <c r="E9" s="604" t="s">
        <v>665</v>
      </c>
      <c r="F9" s="604" t="s">
        <v>666</v>
      </c>
      <c r="G9" s="604" t="s">
        <v>667</v>
      </c>
      <c r="H9" s="837" t="s">
        <v>668</v>
      </c>
      <c r="I9" s="838"/>
      <c r="J9" s="604" t="s">
        <v>669</v>
      </c>
      <c r="K9" s="605" t="s">
        <v>670</v>
      </c>
    </row>
    <row r="10" spans="2:14" s="26" customFormat="1" ht="15.6" x14ac:dyDescent="0.3">
      <c r="B10" s="25" t="s">
        <v>671</v>
      </c>
      <c r="C10" s="834" t="s">
        <v>672</v>
      </c>
      <c r="D10" s="835"/>
      <c r="E10" s="836"/>
      <c r="F10" s="355">
        <f>SUM(F11:F22)</f>
        <v>115000000</v>
      </c>
      <c r="G10" s="356"/>
      <c r="H10" s="356"/>
      <c r="I10" s="355">
        <f>SUM(I11:I22)</f>
        <v>57500000</v>
      </c>
      <c r="J10" s="357">
        <v>0.02</v>
      </c>
      <c r="K10" s="355">
        <f>SUM(K11:K22)*-1</f>
        <v>2804158.0349838641</v>
      </c>
    </row>
    <row r="11" spans="2:14" ht="15" x14ac:dyDescent="0.25">
      <c r="B11" s="27" t="s">
        <v>673</v>
      </c>
      <c r="C11" s="359" t="s">
        <v>847</v>
      </c>
      <c r="D11" s="359">
        <v>70000000</v>
      </c>
      <c r="E11" s="360">
        <v>1</v>
      </c>
      <c r="F11" s="361">
        <f>+D11*E11</f>
        <v>70000000</v>
      </c>
      <c r="G11" s="360">
        <v>5</v>
      </c>
      <c r="H11" s="362">
        <v>0.5</v>
      </c>
      <c r="I11" s="363">
        <f>+F11*H11</f>
        <v>35000000</v>
      </c>
      <c r="J11" s="364">
        <f>+$J$10</f>
        <v>0.02</v>
      </c>
      <c r="K11" s="365">
        <f>PMT(J11,G11*12,F11-I11,0)-I11*J11</f>
        <v>-1706878.8039032216</v>
      </c>
      <c r="N11" s="373"/>
    </row>
    <row r="12" spans="2:14" ht="15" x14ac:dyDescent="0.25">
      <c r="B12" s="27" t="s">
        <v>674</v>
      </c>
      <c r="C12" s="359" t="s">
        <v>848</v>
      </c>
      <c r="D12" s="359">
        <v>45000000</v>
      </c>
      <c r="E12" s="360">
        <v>1</v>
      </c>
      <c r="F12" s="361">
        <f>+D12*E12</f>
        <v>45000000</v>
      </c>
      <c r="G12" s="360">
        <v>5</v>
      </c>
      <c r="H12" s="362">
        <v>0.5</v>
      </c>
      <c r="I12" s="363">
        <f t="shared" ref="I12:I22" si="0">+F12*H12</f>
        <v>22500000</v>
      </c>
      <c r="J12" s="364">
        <f t="shared" ref="J12:J22" si="1">+$J$10</f>
        <v>0.02</v>
      </c>
      <c r="K12" s="365">
        <f>PMT(J12,G12*12,F12-I12,0)-I12*J12</f>
        <v>-1097279.2310806424</v>
      </c>
      <c r="N12" s="373"/>
    </row>
    <row r="13" spans="2:14" ht="15" x14ac:dyDescent="0.25">
      <c r="B13" s="27" t="s">
        <v>675</v>
      </c>
      <c r="C13" s="359"/>
      <c r="D13" s="359"/>
      <c r="E13" s="360"/>
      <c r="F13" s="361">
        <f>+D13*E13</f>
        <v>0</v>
      </c>
      <c r="G13" s="360">
        <v>5</v>
      </c>
      <c r="H13" s="362">
        <v>0.5</v>
      </c>
      <c r="I13" s="363">
        <f t="shared" si="0"/>
        <v>0</v>
      </c>
      <c r="J13" s="364">
        <f t="shared" si="1"/>
        <v>0.02</v>
      </c>
      <c r="K13" s="365">
        <f t="shared" ref="K13:K22" si="2">PMT(J13,G13*12,F13-I13,0)-I13*J13</f>
        <v>0</v>
      </c>
    </row>
    <row r="14" spans="2:14" ht="15" x14ac:dyDescent="0.25">
      <c r="B14" s="27" t="s">
        <v>676</v>
      </c>
      <c r="C14" s="359"/>
      <c r="D14" s="359"/>
      <c r="E14" s="360"/>
      <c r="F14" s="361">
        <f>+D14*E14</f>
        <v>0</v>
      </c>
      <c r="G14" s="360">
        <v>5</v>
      </c>
      <c r="H14" s="362">
        <v>0.4</v>
      </c>
      <c r="I14" s="363">
        <f t="shared" si="0"/>
        <v>0</v>
      </c>
      <c r="J14" s="364">
        <f t="shared" si="1"/>
        <v>0.02</v>
      </c>
      <c r="K14" s="365">
        <f t="shared" si="2"/>
        <v>0</v>
      </c>
    </row>
    <row r="15" spans="2:14" ht="15" x14ac:dyDescent="0.25">
      <c r="B15" s="27" t="s">
        <v>677</v>
      </c>
      <c r="C15" s="359"/>
      <c r="D15" s="359"/>
      <c r="E15" s="360"/>
      <c r="F15" s="361">
        <f t="shared" ref="F15:F21" si="3">+D15*E15</f>
        <v>0</v>
      </c>
      <c r="G15" s="360">
        <v>5</v>
      </c>
      <c r="H15" s="362">
        <v>0.4</v>
      </c>
      <c r="I15" s="363">
        <f t="shared" si="0"/>
        <v>0</v>
      </c>
      <c r="J15" s="364">
        <f t="shared" si="1"/>
        <v>0.02</v>
      </c>
      <c r="K15" s="365">
        <f t="shared" si="2"/>
        <v>0</v>
      </c>
    </row>
    <row r="16" spans="2:14" ht="15" x14ac:dyDescent="0.25">
      <c r="B16" s="27" t="s">
        <v>678</v>
      </c>
      <c r="C16" s="359"/>
      <c r="D16" s="359"/>
      <c r="E16" s="360"/>
      <c r="F16" s="361">
        <f t="shared" si="3"/>
        <v>0</v>
      </c>
      <c r="G16" s="360">
        <v>5</v>
      </c>
      <c r="H16" s="362">
        <v>0.4</v>
      </c>
      <c r="I16" s="363">
        <f t="shared" si="0"/>
        <v>0</v>
      </c>
      <c r="J16" s="364">
        <f t="shared" si="1"/>
        <v>0.02</v>
      </c>
      <c r="K16" s="365">
        <f>PMT(J16,G16*12,F16-I16,0)-I16*J16</f>
        <v>0</v>
      </c>
    </row>
    <row r="17" spans="2:11" ht="15" x14ac:dyDescent="0.25">
      <c r="B17" s="27" t="s">
        <v>679</v>
      </c>
      <c r="C17" s="358" t="s">
        <v>312</v>
      </c>
      <c r="D17" s="359"/>
      <c r="E17" s="360"/>
      <c r="F17" s="361">
        <f t="shared" si="3"/>
        <v>0</v>
      </c>
      <c r="G17" s="360">
        <v>3</v>
      </c>
      <c r="H17" s="362">
        <v>0.4</v>
      </c>
      <c r="I17" s="363">
        <f t="shared" si="0"/>
        <v>0</v>
      </c>
      <c r="J17" s="364">
        <f t="shared" si="1"/>
        <v>0.02</v>
      </c>
      <c r="K17" s="365">
        <f t="shared" si="2"/>
        <v>0</v>
      </c>
    </row>
    <row r="18" spans="2:11" ht="15" x14ac:dyDescent="0.25">
      <c r="B18" s="27" t="s">
        <v>680</v>
      </c>
      <c r="C18" s="358" t="s">
        <v>312</v>
      </c>
      <c r="D18" s="359"/>
      <c r="E18" s="360"/>
      <c r="F18" s="361">
        <f t="shared" si="3"/>
        <v>0</v>
      </c>
      <c r="G18" s="360">
        <v>3</v>
      </c>
      <c r="H18" s="362">
        <v>0</v>
      </c>
      <c r="I18" s="363">
        <f t="shared" si="0"/>
        <v>0</v>
      </c>
      <c r="J18" s="364">
        <f t="shared" si="1"/>
        <v>0.02</v>
      </c>
      <c r="K18" s="365">
        <f t="shared" si="2"/>
        <v>0</v>
      </c>
    </row>
    <row r="19" spans="2:11" ht="15" x14ac:dyDescent="0.25">
      <c r="B19" s="27" t="s">
        <v>681</v>
      </c>
      <c r="C19" s="358" t="s">
        <v>312</v>
      </c>
      <c r="D19" s="359"/>
      <c r="E19" s="360"/>
      <c r="F19" s="361">
        <f t="shared" si="3"/>
        <v>0</v>
      </c>
      <c r="G19" s="360">
        <v>3</v>
      </c>
      <c r="H19" s="362">
        <v>0</v>
      </c>
      <c r="I19" s="363">
        <f t="shared" si="0"/>
        <v>0</v>
      </c>
      <c r="J19" s="364">
        <f t="shared" si="1"/>
        <v>0.02</v>
      </c>
      <c r="K19" s="365">
        <f t="shared" si="2"/>
        <v>0</v>
      </c>
    </row>
    <row r="20" spans="2:11" ht="15" x14ac:dyDescent="0.25">
      <c r="B20" s="27" t="s">
        <v>682</v>
      </c>
      <c r="C20" s="358" t="s">
        <v>312</v>
      </c>
      <c r="D20" s="359"/>
      <c r="E20" s="360"/>
      <c r="F20" s="361">
        <f t="shared" si="3"/>
        <v>0</v>
      </c>
      <c r="G20" s="360">
        <v>3</v>
      </c>
      <c r="H20" s="362">
        <v>0.3</v>
      </c>
      <c r="I20" s="363">
        <f t="shared" si="0"/>
        <v>0</v>
      </c>
      <c r="J20" s="364">
        <f t="shared" si="1"/>
        <v>0.02</v>
      </c>
      <c r="K20" s="365">
        <f t="shared" si="2"/>
        <v>0</v>
      </c>
    </row>
    <row r="21" spans="2:11" ht="15" x14ac:dyDescent="0.25">
      <c r="B21" s="27" t="s">
        <v>683</v>
      </c>
      <c r="C21" s="358" t="s">
        <v>312</v>
      </c>
      <c r="D21" s="359"/>
      <c r="E21" s="360"/>
      <c r="F21" s="361">
        <f t="shared" si="3"/>
        <v>0</v>
      </c>
      <c r="G21" s="360">
        <v>3</v>
      </c>
      <c r="H21" s="362">
        <v>0</v>
      </c>
      <c r="I21" s="363">
        <f t="shared" si="0"/>
        <v>0</v>
      </c>
      <c r="J21" s="364">
        <f t="shared" si="1"/>
        <v>0.02</v>
      </c>
      <c r="K21" s="365">
        <f t="shared" si="2"/>
        <v>0</v>
      </c>
    </row>
    <row r="22" spans="2:11" ht="15" x14ac:dyDescent="0.25">
      <c r="B22" s="27" t="s">
        <v>684</v>
      </c>
      <c r="C22" s="358"/>
      <c r="D22" s="359"/>
      <c r="E22" s="360"/>
      <c r="F22" s="361">
        <f>+D22*E22</f>
        <v>0</v>
      </c>
      <c r="G22" s="360">
        <v>3</v>
      </c>
      <c r="H22" s="362">
        <v>0</v>
      </c>
      <c r="I22" s="363">
        <f t="shared" si="0"/>
        <v>0</v>
      </c>
      <c r="J22" s="364">
        <f t="shared" si="1"/>
        <v>0.02</v>
      </c>
      <c r="K22" s="365">
        <f t="shared" si="2"/>
        <v>0</v>
      </c>
    </row>
    <row r="23" spans="2:11" s="26" customFormat="1" ht="15.6" x14ac:dyDescent="0.3">
      <c r="B23" s="25" t="s">
        <v>685</v>
      </c>
      <c r="C23" s="834" t="s">
        <v>686</v>
      </c>
      <c r="D23" s="835"/>
      <c r="E23" s="836"/>
      <c r="F23" s="366">
        <f>SUM(F24:F35)</f>
        <v>1500000</v>
      </c>
      <c r="G23" s="28"/>
      <c r="H23" s="28"/>
      <c r="I23" s="355">
        <f>SUM(I24:I35)</f>
        <v>0</v>
      </c>
      <c r="J23" s="367"/>
      <c r="K23" s="355">
        <f>SUM(K24:K35)*-1</f>
        <v>141839.3949344272</v>
      </c>
    </row>
    <row r="24" spans="2:11" ht="15" x14ac:dyDescent="0.25">
      <c r="B24" s="27" t="s">
        <v>687</v>
      </c>
      <c r="C24" s="606" t="s">
        <v>849</v>
      </c>
      <c r="D24" s="368">
        <v>1500000</v>
      </c>
      <c r="E24" s="360">
        <v>1</v>
      </c>
      <c r="F24" s="361">
        <f>+D24*E24</f>
        <v>1500000</v>
      </c>
      <c r="G24" s="360">
        <v>1</v>
      </c>
      <c r="H24" s="362">
        <v>0</v>
      </c>
      <c r="I24" s="363">
        <f t="shared" ref="I24:I35" si="4">+F24*H24</f>
        <v>0</v>
      </c>
      <c r="J24" s="364">
        <f t="shared" ref="J24:J35" si="5">+$J$10</f>
        <v>0.02</v>
      </c>
      <c r="K24" s="365">
        <f t="shared" ref="K24:K35" si="6">PMT(J24,G24*12,F24-I24,0)-I24*J24</f>
        <v>-141839.3949344272</v>
      </c>
    </row>
    <row r="25" spans="2:11" ht="15" x14ac:dyDescent="0.25">
      <c r="B25" s="27" t="s">
        <v>688</v>
      </c>
      <c r="C25" s="358"/>
      <c r="D25" s="368"/>
      <c r="E25" s="360"/>
      <c r="F25" s="361">
        <f>+D25*E25</f>
        <v>0</v>
      </c>
      <c r="G25" s="360">
        <v>8</v>
      </c>
      <c r="H25" s="362">
        <v>0.8</v>
      </c>
      <c r="I25" s="363">
        <f t="shared" si="4"/>
        <v>0</v>
      </c>
      <c r="J25" s="364">
        <f t="shared" si="5"/>
        <v>0.02</v>
      </c>
      <c r="K25" s="365">
        <f t="shared" si="6"/>
        <v>0</v>
      </c>
    </row>
    <row r="26" spans="2:11" ht="15" hidden="1" x14ac:dyDescent="0.25">
      <c r="B26" s="27" t="s">
        <v>689</v>
      </c>
      <c r="C26" s="358"/>
      <c r="D26" s="368"/>
      <c r="E26" s="360"/>
      <c r="F26" s="361">
        <f t="shared" ref="F26:F35" si="7">+D26*E26</f>
        <v>0</v>
      </c>
      <c r="G26" s="360">
        <v>3</v>
      </c>
      <c r="H26" s="362">
        <v>0</v>
      </c>
      <c r="I26" s="363">
        <f t="shared" si="4"/>
        <v>0</v>
      </c>
      <c r="J26" s="364">
        <f t="shared" si="5"/>
        <v>0.02</v>
      </c>
      <c r="K26" s="365">
        <f t="shared" si="6"/>
        <v>0</v>
      </c>
    </row>
    <row r="27" spans="2:11" ht="15" hidden="1" x14ac:dyDescent="0.25">
      <c r="B27" s="27" t="s">
        <v>690</v>
      </c>
      <c r="C27" s="358"/>
      <c r="D27" s="368"/>
      <c r="E27" s="360"/>
      <c r="F27" s="361">
        <f t="shared" si="7"/>
        <v>0</v>
      </c>
      <c r="G27" s="360">
        <v>3</v>
      </c>
      <c r="H27" s="362">
        <v>0</v>
      </c>
      <c r="I27" s="363">
        <f t="shared" si="4"/>
        <v>0</v>
      </c>
      <c r="J27" s="364">
        <f t="shared" si="5"/>
        <v>0.02</v>
      </c>
      <c r="K27" s="365">
        <f t="shared" si="6"/>
        <v>0</v>
      </c>
    </row>
    <row r="28" spans="2:11" ht="15" hidden="1" x14ac:dyDescent="0.25">
      <c r="B28" s="27" t="s">
        <v>691</v>
      </c>
      <c r="C28" s="358"/>
      <c r="D28" s="368"/>
      <c r="E28" s="360"/>
      <c r="F28" s="361">
        <f t="shared" si="7"/>
        <v>0</v>
      </c>
      <c r="G28" s="360">
        <v>3</v>
      </c>
      <c r="H28" s="362">
        <v>0</v>
      </c>
      <c r="I28" s="363">
        <f t="shared" si="4"/>
        <v>0</v>
      </c>
      <c r="J28" s="364">
        <f t="shared" si="5"/>
        <v>0.02</v>
      </c>
      <c r="K28" s="365">
        <f t="shared" si="6"/>
        <v>0</v>
      </c>
    </row>
    <row r="29" spans="2:11" ht="15" hidden="1" x14ac:dyDescent="0.25">
      <c r="B29" s="27" t="s">
        <v>692</v>
      </c>
      <c r="C29" s="358"/>
      <c r="D29" s="368"/>
      <c r="E29" s="360"/>
      <c r="F29" s="361">
        <f t="shared" si="7"/>
        <v>0</v>
      </c>
      <c r="G29" s="360">
        <v>3</v>
      </c>
      <c r="H29" s="362">
        <v>0</v>
      </c>
      <c r="I29" s="363">
        <f t="shared" si="4"/>
        <v>0</v>
      </c>
      <c r="J29" s="364">
        <f t="shared" si="5"/>
        <v>0.02</v>
      </c>
      <c r="K29" s="365">
        <f t="shared" si="6"/>
        <v>0</v>
      </c>
    </row>
    <row r="30" spans="2:11" ht="15" hidden="1" x14ac:dyDescent="0.25">
      <c r="B30" s="27" t="s">
        <v>693</v>
      </c>
      <c r="C30" s="358"/>
      <c r="D30" s="368"/>
      <c r="E30" s="360"/>
      <c r="F30" s="361">
        <f t="shared" si="7"/>
        <v>0</v>
      </c>
      <c r="G30" s="360">
        <v>3</v>
      </c>
      <c r="H30" s="362">
        <v>0</v>
      </c>
      <c r="I30" s="363">
        <f t="shared" si="4"/>
        <v>0</v>
      </c>
      <c r="J30" s="364">
        <f t="shared" si="5"/>
        <v>0.02</v>
      </c>
      <c r="K30" s="365">
        <f t="shared" si="6"/>
        <v>0</v>
      </c>
    </row>
    <row r="31" spans="2:11" ht="15" hidden="1" x14ac:dyDescent="0.25">
      <c r="B31" s="27" t="s">
        <v>694</v>
      </c>
      <c r="C31" s="358"/>
      <c r="D31" s="368"/>
      <c r="E31" s="360"/>
      <c r="F31" s="361">
        <f t="shared" si="7"/>
        <v>0</v>
      </c>
      <c r="G31" s="360">
        <v>3</v>
      </c>
      <c r="H31" s="362">
        <v>0</v>
      </c>
      <c r="I31" s="363">
        <f t="shared" si="4"/>
        <v>0</v>
      </c>
      <c r="J31" s="364">
        <f t="shared" si="5"/>
        <v>0.02</v>
      </c>
      <c r="K31" s="365">
        <f t="shared" si="6"/>
        <v>0</v>
      </c>
    </row>
    <row r="32" spans="2:11" ht="15" hidden="1" x14ac:dyDescent="0.25">
      <c r="B32" s="27" t="s">
        <v>695</v>
      </c>
      <c r="C32" s="358"/>
      <c r="D32" s="368"/>
      <c r="E32" s="360"/>
      <c r="F32" s="361">
        <f t="shared" si="7"/>
        <v>0</v>
      </c>
      <c r="G32" s="360">
        <v>3</v>
      </c>
      <c r="H32" s="362">
        <v>0</v>
      </c>
      <c r="I32" s="363">
        <f t="shared" si="4"/>
        <v>0</v>
      </c>
      <c r="J32" s="364">
        <f t="shared" si="5"/>
        <v>0.02</v>
      </c>
      <c r="K32" s="365">
        <f t="shared" si="6"/>
        <v>0</v>
      </c>
    </row>
    <row r="33" spans="2:11" ht="15" hidden="1" x14ac:dyDescent="0.25">
      <c r="B33" s="27" t="s">
        <v>696</v>
      </c>
      <c r="C33" s="358"/>
      <c r="D33" s="368"/>
      <c r="E33" s="360"/>
      <c r="F33" s="361">
        <f t="shared" si="7"/>
        <v>0</v>
      </c>
      <c r="G33" s="360">
        <v>3</v>
      </c>
      <c r="H33" s="362">
        <v>0</v>
      </c>
      <c r="I33" s="363">
        <f t="shared" si="4"/>
        <v>0</v>
      </c>
      <c r="J33" s="364">
        <f t="shared" si="5"/>
        <v>0.02</v>
      </c>
      <c r="K33" s="365">
        <f t="shared" si="6"/>
        <v>0</v>
      </c>
    </row>
    <row r="34" spans="2:11" ht="15" hidden="1" x14ac:dyDescent="0.25">
      <c r="B34" s="27" t="s">
        <v>697</v>
      </c>
      <c r="C34" s="358"/>
      <c r="D34" s="368"/>
      <c r="E34" s="360"/>
      <c r="F34" s="361">
        <f t="shared" si="7"/>
        <v>0</v>
      </c>
      <c r="G34" s="360">
        <v>3</v>
      </c>
      <c r="H34" s="362">
        <v>0</v>
      </c>
      <c r="I34" s="363">
        <f t="shared" si="4"/>
        <v>0</v>
      </c>
      <c r="J34" s="364">
        <f t="shared" si="5"/>
        <v>0.02</v>
      </c>
      <c r="K34" s="365">
        <f t="shared" si="6"/>
        <v>0</v>
      </c>
    </row>
    <row r="35" spans="2:11" ht="15" hidden="1" x14ac:dyDescent="0.25">
      <c r="B35" s="27" t="s">
        <v>698</v>
      </c>
      <c r="C35" s="358"/>
      <c r="D35" s="368"/>
      <c r="E35" s="360"/>
      <c r="F35" s="361">
        <f t="shared" si="7"/>
        <v>0</v>
      </c>
      <c r="G35" s="360">
        <v>3</v>
      </c>
      <c r="H35" s="362">
        <v>0</v>
      </c>
      <c r="I35" s="363">
        <f t="shared" si="4"/>
        <v>0</v>
      </c>
      <c r="J35" s="364">
        <f t="shared" si="5"/>
        <v>0.02</v>
      </c>
      <c r="K35" s="365">
        <f t="shared" si="6"/>
        <v>0</v>
      </c>
    </row>
    <row r="36" spans="2:11" s="26" customFormat="1" ht="15.6" x14ac:dyDescent="0.3">
      <c r="B36" s="25" t="s">
        <v>699</v>
      </c>
      <c r="C36" s="834" t="s">
        <v>700</v>
      </c>
      <c r="D36" s="835"/>
      <c r="E36" s="836"/>
      <c r="F36" s="355">
        <f>SUM(F37:F48)</f>
        <v>0</v>
      </c>
      <c r="G36" s="356"/>
      <c r="H36" s="356"/>
      <c r="I36" s="355">
        <f>SUM(I37:I48)</f>
        <v>0</v>
      </c>
      <c r="J36" s="367"/>
      <c r="K36" s="355">
        <f>SUM(K37:K48)*-1</f>
        <v>0</v>
      </c>
    </row>
    <row r="37" spans="2:11" ht="15" x14ac:dyDescent="0.25">
      <c r="B37" s="27" t="s">
        <v>701</v>
      </c>
      <c r="C37" s="606" t="s">
        <v>702</v>
      </c>
      <c r="D37" s="368"/>
      <c r="E37" s="360"/>
      <c r="F37" s="361">
        <f>+D37*E37</f>
        <v>0</v>
      </c>
      <c r="G37" s="360">
        <v>8</v>
      </c>
      <c r="H37" s="362">
        <v>0.5</v>
      </c>
      <c r="I37" s="363">
        <f>+F37*H37</f>
        <v>0</v>
      </c>
      <c r="J37" s="364">
        <f t="shared" ref="J37:J48" si="8">+$J$10</f>
        <v>0.02</v>
      </c>
      <c r="K37" s="365">
        <f>PMT(J37,G37*12,F37-I37,0)-I37*J37</f>
        <v>0</v>
      </c>
    </row>
    <row r="38" spans="2:11" ht="15" x14ac:dyDescent="0.25">
      <c r="B38" s="27" t="s">
        <v>703</v>
      </c>
      <c r="C38" s="606" t="s">
        <v>704</v>
      </c>
      <c r="D38" s="368"/>
      <c r="E38" s="360"/>
      <c r="F38" s="361">
        <f>+D38*E38</f>
        <v>0</v>
      </c>
      <c r="G38" s="360">
        <v>8</v>
      </c>
      <c r="H38" s="362">
        <v>0.5</v>
      </c>
      <c r="I38" s="363">
        <f t="shared" ref="I38:I48" si="9">+F38*H38</f>
        <v>0</v>
      </c>
      <c r="J38" s="364">
        <f t="shared" si="8"/>
        <v>0.02</v>
      </c>
      <c r="K38" s="365">
        <f t="shared" ref="K38:K48" si="10">PMT(J38,G38*12,F38-I38,0)-I38*J38</f>
        <v>0</v>
      </c>
    </row>
    <row r="39" spans="2:11" ht="15" x14ac:dyDescent="0.25">
      <c r="B39" s="27" t="s">
        <v>705</v>
      </c>
      <c r="C39" s="606"/>
      <c r="D39" s="368"/>
      <c r="E39" s="360"/>
      <c r="F39" s="361">
        <f t="shared" ref="F39:F48" si="11">+D39*E39</f>
        <v>0</v>
      </c>
      <c r="G39" s="360">
        <v>5</v>
      </c>
      <c r="H39" s="362">
        <v>0</v>
      </c>
      <c r="I39" s="363">
        <f t="shared" si="9"/>
        <v>0</v>
      </c>
      <c r="J39" s="364">
        <f t="shared" si="8"/>
        <v>0.02</v>
      </c>
      <c r="K39" s="365">
        <f t="shared" si="10"/>
        <v>0</v>
      </c>
    </row>
    <row r="40" spans="2:11" ht="15" x14ac:dyDescent="0.25">
      <c r="B40" s="27" t="s">
        <v>706</v>
      </c>
      <c r="C40" s="606"/>
      <c r="D40" s="368"/>
      <c r="E40" s="360"/>
      <c r="F40" s="361">
        <f t="shared" si="11"/>
        <v>0</v>
      </c>
      <c r="G40" s="360">
        <v>5</v>
      </c>
      <c r="H40" s="362">
        <v>0</v>
      </c>
      <c r="I40" s="363">
        <f t="shared" si="9"/>
        <v>0</v>
      </c>
      <c r="J40" s="364">
        <f t="shared" si="8"/>
        <v>0.02</v>
      </c>
      <c r="K40" s="365">
        <f t="shared" si="10"/>
        <v>0</v>
      </c>
    </row>
    <row r="41" spans="2:11" ht="15" x14ac:dyDescent="0.25">
      <c r="B41" s="27" t="s">
        <v>707</v>
      </c>
      <c r="C41" s="358"/>
      <c r="D41" s="368"/>
      <c r="E41" s="360"/>
      <c r="F41" s="361">
        <f t="shared" si="11"/>
        <v>0</v>
      </c>
      <c r="G41" s="360">
        <v>3</v>
      </c>
      <c r="H41" s="362">
        <v>0</v>
      </c>
      <c r="I41" s="363">
        <f t="shared" si="9"/>
        <v>0</v>
      </c>
      <c r="J41" s="364">
        <f t="shared" si="8"/>
        <v>0.02</v>
      </c>
      <c r="K41" s="365">
        <f t="shared" si="10"/>
        <v>0</v>
      </c>
    </row>
    <row r="42" spans="2:11" ht="15" x14ac:dyDescent="0.25">
      <c r="B42" s="27" t="s">
        <v>708</v>
      </c>
      <c r="C42" s="358"/>
      <c r="D42" s="368"/>
      <c r="E42" s="360"/>
      <c r="F42" s="361">
        <f t="shared" si="11"/>
        <v>0</v>
      </c>
      <c r="G42" s="360">
        <v>3</v>
      </c>
      <c r="H42" s="362">
        <v>0</v>
      </c>
      <c r="I42" s="363">
        <f t="shared" si="9"/>
        <v>0</v>
      </c>
      <c r="J42" s="364">
        <f t="shared" si="8"/>
        <v>0.02</v>
      </c>
      <c r="K42" s="365">
        <f t="shared" si="10"/>
        <v>0</v>
      </c>
    </row>
    <row r="43" spans="2:11" ht="15" x14ac:dyDescent="0.25">
      <c r="B43" s="27" t="s">
        <v>709</v>
      </c>
      <c r="C43" s="358"/>
      <c r="D43" s="368"/>
      <c r="E43" s="360"/>
      <c r="F43" s="361">
        <f t="shared" si="11"/>
        <v>0</v>
      </c>
      <c r="G43" s="360">
        <v>3</v>
      </c>
      <c r="H43" s="362">
        <v>0</v>
      </c>
      <c r="I43" s="363">
        <f t="shared" si="9"/>
        <v>0</v>
      </c>
      <c r="J43" s="364">
        <f t="shared" si="8"/>
        <v>0.02</v>
      </c>
      <c r="K43" s="365">
        <f t="shared" si="10"/>
        <v>0</v>
      </c>
    </row>
    <row r="44" spans="2:11" ht="15" x14ac:dyDescent="0.25">
      <c r="B44" s="27" t="s">
        <v>710</v>
      </c>
      <c r="C44" s="358"/>
      <c r="D44" s="368"/>
      <c r="E44" s="360"/>
      <c r="F44" s="361">
        <f t="shared" si="11"/>
        <v>0</v>
      </c>
      <c r="G44" s="360">
        <v>3</v>
      </c>
      <c r="H44" s="362">
        <v>0</v>
      </c>
      <c r="I44" s="363">
        <f t="shared" si="9"/>
        <v>0</v>
      </c>
      <c r="J44" s="364">
        <f t="shared" si="8"/>
        <v>0.02</v>
      </c>
      <c r="K44" s="365">
        <f t="shared" si="10"/>
        <v>0</v>
      </c>
    </row>
    <row r="45" spans="2:11" ht="15" x14ac:dyDescent="0.25">
      <c r="B45" s="27" t="s">
        <v>711</v>
      </c>
      <c r="C45" s="358"/>
      <c r="D45" s="368"/>
      <c r="E45" s="360"/>
      <c r="F45" s="361">
        <f t="shared" si="11"/>
        <v>0</v>
      </c>
      <c r="G45" s="360">
        <v>3</v>
      </c>
      <c r="H45" s="362">
        <v>0</v>
      </c>
      <c r="I45" s="363">
        <f t="shared" si="9"/>
        <v>0</v>
      </c>
      <c r="J45" s="364">
        <f t="shared" si="8"/>
        <v>0.02</v>
      </c>
      <c r="K45" s="365">
        <f t="shared" si="10"/>
        <v>0</v>
      </c>
    </row>
    <row r="46" spans="2:11" ht="15" x14ac:dyDescent="0.25">
      <c r="B46" s="27" t="s">
        <v>712</v>
      </c>
      <c r="C46" s="358"/>
      <c r="D46" s="368"/>
      <c r="E46" s="360"/>
      <c r="F46" s="361">
        <f t="shared" si="11"/>
        <v>0</v>
      </c>
      <c r="G46" s="360">
        <v>3</v>
      </c>
      <c r="H46" s="362">
        <v>0</v>
      </c>
      <c r="I46" s="363">
        <f t="shared" si="9"/>
        <v>0</v>
      </c>
      <c r="J46" s="364">
        <f t="shared" si="8"/>
        <v>0.02</v>
      </c>
      <c r="K46" s="365">
        <f t="shared" si="10"/>
        <v>0</v>
      </c>
    </row>
    <row r="47" spans="2:11" ht="15" x14ac:dyDescent="0.25">
      <c r="B47" s="27" t="s">
        <v>713</v>
      </c>
      <c r="C47" s="358"/>
      <c r="D47" s="368"/>
      <c r="E47" s="360"/>
      <c r="F47" s="361">
        <f t="shared" si="11"/>
        <v>0</v>
      </c>
      <c r="G47" s="360">
        <v>3</v>
      </c>
      <c r="H47" s="362">
        <v>0</v>
      </c>
      <c r="I47" s="363">
        <f t="shared" si="9"/>
        <v>0</v>
      </c>
      <c r="J47" s="364">
        <f t="shared" si="8"/>
        <v>0.02</v>
      </c>
      <c r="K47" s="365">
        <f t="shared" si="10"/>
        <v>0</v>
      </c>
    </row>
    <row r="48" spans="2:11" ht="15" x14ac:dyDescent="0.25">
      <c r="B48" s="27" t="s">
        <v>714</v>
      </c>
      <c r="C48" s="358"/>
      <c r="D48" s="368"/>
      <c r="E48" s="360"/>
      <c r="F48" s="361">
        <f t="shared" si="11"/>
        <v>0</v>
      </c>
      <c r="G48" s="360">
        <v>3</v>
      </c>
      <c r="H48" s="362">
        <v>0</v>
      </c>
      <c r="I48" s="363">
        <f t="shared" si="9"/>
        <v>0</v>
      </c>
      <c r="J48" s="364">
        <f t="shared" si="8"/>
        <v>0.02</v>
      </c>
      <c r="K48" s="365">
        <f t="shared" si="10"/>
        <v>0</v>
      </c>
    </row>
    <row r="49" spans="2:15" s="26" customFormat="1" ht="15.6" x14ac:dyDescent="0.3">
      <c r="B49" s="25" t="s">
        <v>715</v>
      </c>
      <c r="C49" s="834" t="s">
        <v>716</v>
      </c>
      <c r="D49" s="835"/>
      <c r="E49" s="836"/>
      <c r="F49" s="355">
        <f>SUM(F50:F61)</f>
        <v>4000000</v>
      </c>
      <c r="G49" s="356"/>
      <c r="H49" s="356"/>
      <c r="I49" s="355">
        <f>SUM(I50:I61)</f>
        <v>0</v>
      </c>
      <c r="J49" s="367"/>
      <c r="K49" s="355">
        <f>SUM(K50:K61)*-1</f>
        <v>156931.41039119262</v>
      </c>
    </row>
    <row r="50" spans="2:15" ht="15" x14ac:dyDescent="0.25">
      <c r="B50" s="27" t="s">
        <v>717</v>
      </c>
      <c r="C50" s="358" t="s">
        <v>846</v>
      </c>
      <c r="D50" s="368">
        <v>2000000</v>
      </c>
      <c r="E50" s="360">
        <v>1</v>
      </c>
      <c r="F50" s="361">
        <f>+D50*E50</f>
        <v>2000000</v>
      </c>
      <c r="G50" s="360">
        <v>3</v>
      </c>
      <c r="H50" s="362">
        <v>0</v>
      </c>
      <c r="I50" s="363">
        <f t="shared" ref="I50:I61" si="12">+F50*H50</f>
        <v>0</v>
      </c>
      <c r="J50" s="364">
        <f t="shared" ref="J50:J61" si="13">+$J$10</f>
        <v>0.02</v>
      </c>
      <c r="K50" s="365">
        <f t="shared" ref="K50:K61" si="14">PMT(J50,G50*12,F50-I50,0)-I50*J50</f>
        <v>-78465.705195596311</v>
      </c>
      <c r="M50" s="382"/>
    </row>
    <row r="51" spans="2:15" ht="15" x14ac:dyDescent="0.25">
      <c r="B51" s="27" t="s">
        <v>718</v>
      </c>
      <c r="C51" s="358" t="s">
        <v>719</v>
      </c>
      <c r="D51" s="368">
        <v>500000</v>
      </c>
      <c r="E51" s="360">
        <v>4</v>
      </c>
      <c r="F51" s="361">
        <f t="shared" ref="F51:F61" si="15">+D51*E51</f>
        <v>2000000</v>
      </c>
      <c r="G51" s="360">
        <v>3</v>
      </c>
      <c r="H51" s="362">
        <v>0</v>
      </c>
      <c r="I51" s="363">
        <f t="shared" si="12"/>
        <v>0</v>
      </c>
      <c r="J51" s="364">
        <f t="shared" si="13"/>
        <v>0.02</v>
      </c>
      <c r="K51" s="365">
        <f t="shared" si="14"/>
        <v>-78465.705195596311</v>
      </c>
      <c r="M51" s="382"/>
      <c r="O51" s="458"/>
    </row>
    <row r="52" spans="2:15" ht="15" x14ac:dyDescent="0.25">
      <c r="B52" s="27" t="s">
        <v>720</v>
      </c>
      <c r="C52" s="358"/>
      <c r="D52" s="368"/>
      <c r="E52" s="360"/>
      <c r="F52" s="361">
        <f t="shared" si="15"/>
        <v>0</v>
      </c>
      <c r="G52" s="360">
        <v>1</v>
      </c>
      <c r="H52" s="362">
        <v>0</v>
      </c>
      <c r="I52" s="363">
        <f t="shared" si="12"/>
        <v>0</v>
      </c>
      <c r="J52" s="364">
        <f t="shared" si="13"/>
        <v>0.02</v>
      </c>
      <c r="K52" s="365">
        <f t="shared" si="14"/>
        <v>0</v>
      </c>
      <c r="M52" s="382"/>
    </row>
    <row r="53" spans="2:15" ht="15" x14ac:dyDescent="0.25">
      <c r="B53" s="27" t="s">
        <v>721</v>
      </c>
      <c r="C53" s="358"/>
      <c r="D53" s="368"/>
      <c r="E53" s="360"/>
      <c r="F53" s="361">
        <f t="shared" si="15"/>
        <v>0</v>
      </c>
      <c r="G53" s="360">
        <v>1</v>
      </c>
      <c r="H53" s="362">
        <v>0</v>
      </c>
      <c r="I53" s="363">
        <f t="shared" si="12"/>
        <v>0</v>
      </c>
      <c r="J53" s="364">
        <f t="shared" si="13"/>
        <v>0.02</v>
      </c>
      <c r="K53" s="365">
        <f t="shared" si="14"/>
        <v>0</v>
      </c>
      <c r="M53" s="382"/>
    </row>
    <row r="54" spans="2:15" ht="15" x14ac:dyDescent="0.25">
      <c r="B54" s="27" t="s">
        <v>722</v>
      </c>
      <c r="C54" s="358"/>
      <c r="D54" s="368"/>
      <c r="E54" s="360"/>
      <c r="F54" s="361">
        <f t="shared" si="15"/>
        <v>0</v>
      </c>
      <c r="G54" s="360">
        <v>1</v>
      </c>
      <c r="H54" s="362">
        <v>0</v>
      </c>
      <c r="I54" s="363">
        <f t="shared" si="12"/>
        <v>0</v>
      </c>
      <c r="J54" s="364">
        <f t="shared" si="13"/>
        <v>0.02</v>
      </c>
      <c r="K54" s="365">
        <f t="shared" si="14"/>
        <v>0</v>
      </c>
      <c r="M54" s="382"/>
    </row>
    <row r="55" spans="2:15" ht="15.6" x14ac:dyDescent="0.25">
      <c r="B55" s="27" t="s">
        <v>723</v>
      </c>
      <c r="C55" s="358"/>
      <c r="D55" s="368"/>
      <c r="E55" s="360"/>
      <c r="F55" s="361">
        <f t="shared" si="15"/>
        <v>0</v>
      </c>
      <c r="G55" s="360">
        <v>1</v>
      </c>
      <c r="H55" s="362">
        <v>0</v>
      </c>
      <c r="I55" s="363">
        <f t="shared" si="12"/>
        <v>0</v>
      </c>
      <c r="J55" s="364">
        <f t="shared" si="13"/>
        <v>0.02</v>
      </c>
      <c r="K55" s="365">
        <f t="shared" si="14"/>
        <v>0</v>
      </c>
      <c r="M55" s="435"/>
    </row>
    <row r="56" spans="2:15" ht="15" x14ac:dyDescent="0.25">
      <c r="B56" s="27" t="s">
        <v>724</v>
      </c>
      <c r="C56" s="358"/>
      <c r="D56" s="368"/>
      <c r="E56" s="360"/>
      <c r="F56" s="361">
        <f t="shared" si="15"/>
        <v>0</v>
      </c>
      <c r="G56" s="360">
        <v>1</v>
      </c>
      <c r="H56" s="362">
        <v>0</v>
      </c>
      <c r="I56" s="363">
        <f t="shared" si="12"/>
        <v>0</v>
      </c>
      <c r="J56" s="364">
        <f t="shared" si="13"/>
        <v>0.02</v>
      </c>
      <c r="K56" s="365">
        <f t="shared" si="14"/>
        <v>0</v>
      </c>
    </row>
    <row r="57" spans="2:15" ht="15" x14ac:dyDescent="0.25">
      <c r="B57" s="27" t="s">
        <v>725</v>
      </c>
      <c r="C57" s="358"/>
      <c r="D57" s="368"/>
      <c r="E57" s="360"/>
      <c r="F57" s="361">
        <f t="shared" si="15"/>
        <v>0</v>
      </c>
      <c r="G57" s="360">
        <v>1</v>
      </c>
      <c r="H57" s="362">
        <v>0</v>
      </c>
      <c r="I57" s="363">
        <f t="shared" si="12"/>
        <v>0</v>
      </c>
      <c r="J57" s="364">
        <f t="shared" si="13"/>
        <v>0.02</v>
      </c>
      <c r="K57" s="365">
        <f t="shared" si="14"/>
        <v>0</v>
      </c>
    </row>
    <row r="58" spans="2:15" ht="15" x14ac:dyDescent="0.25">
      <c r="B58" s="27" t="s">
        <v>726</v>
      </c>
      <c r="C58" s="358"/>
      <c r="D58" s="368"/>
      <c r="E58" s="360"/>
      <c r="F58" s="361">
        <f t="shared" si="15"/>
        <v>0</v>
      </c>
      <c r="G58" s="360">
        <v>1</v>
      </c>
      <c r="H58" s="362">
        <v>0</v>
      </c>
      <c r="I58" s="363">
        <f t="shared" si="12"/>
        <v>0</v>
      </c>
      <c r="J58" s="364">
        <f t="shared" si="13"/>
        <v>0.02</v>
      </c>
      <c r="K58" s="365">
        <f t="shared" si="14"/>
        <v>0</v>
      </c>
    </row>
    <row r="59" spans="2:15" ht="15" x14ac:dyDescent="0.25">
      <c r="B59" s="27" t="s">
        <v>727</v>
      </c>
      <c r="C59" s="358"/>
      <c r="D59" s="368"/>
      <c r="E59" s="360"/>
      <c r="F59" s="361">
        <f t="shared" si="15"/>
        <v>0</v>
      </c>
      <c r="G59" s="360">
        <v>1</v>
      </c>
      <c r="H59" s="362">
        <v>0</v>
      </c>
      <c r="I59" s="363">
        <f t="shared" si="12"/>
        <v>0</v>
      </c>
      <c r="J59" s="364">
        <f t="shared" si="13"/>
        <v>0.02</v>
      </c>
      <c r="K59" s="365">
        <f t="shared" si="14"/>
        <v>0</v>
      </c>
    </row>
    <row r="60" spans="2:15" ht="15" x14ac:dyDescent="0.25">
      <c r="B60" s="27" t="s">
        <v>728</v>
      </c>
      <c r="C60" s="358"/>
      <c r="D60" s="368"/>
      <c r="E60" s="360"/>
      <c r="F60" s="361">
        <f t="shared" si="15"/>
        <v>0</v>
      </c>
      <c r="G60" s="360">
        <v>1</v>
      </c>
      <c r="H60" s="362">
        <v>0</v>
      </c>
      <c r="I60" s="363">
        <f t="shared" si="12"/>
        <v>0</v>
      </c>
      <c r="J60" s="364">
        <f t="shared" si="13"/>
        <v>0.02</v>
      </c>
      <c r="K60" s="365">
        <f t="shared" si="14"/>
        <v>0</v>
      </c>
    </row>
    <row r="61" spans="2:15" ht="15" x14ac:dyDescent="0.25">
      <c r="B61" s="27" t="s">
        <v>729</v>
      </c>
      <c r="C61" s="358"/>
      <c r="D61" s="368"/>
      <c r="E61" s="360"/>
      <c r="F61" s="361">
        <f t="shared" si="15"/>
        <v>0</v>
      </c>
      <c r="G61" s="360">
        <v>1</v>
      </c>
      <c r="H61" s="362">
        <v>0</v>
      </c>
      <c r="I61" s="363">
        <f t="shared" si="12"/>
        <v>0</v>
      </c>
      <c r="J61" s="364">
        <f t="shared" si="13"/>
        <v>0.02</v>
      </c>
      <c r="K61" s="365">
        <f t="shared" si="14"/>
        <v>0</v>
      </c>
    </row>
    <row r="62" spans="2:15" s="26" customFormat="1" ht="15.6" x14ac:dyDescent="0.3">
      <c r="B62" s="25" t="s">
        <v>730</v>
      </c>
      <c r="C62" s="834" t="s">
        <v>731</v>
      </c>
      <c r="D62" s="835"/>
      <c r="E62" s="836"/>
      <c r="F62" s="355">
        <f>SUM(F63:F74)</f>
        <v>24000000</v>
      </c>
      <c r="G62" s="356"/>
      <c r="H62" s="356"/>
      <c r="I62" s="355">
        <f>SUM(I63:I74)</f>
        <v>10000000</v>
      </c>
      <c r="J62" s="367"/>
      <c r="K62" s="355">
        <f>SUM(K63:K74)*-1</f>
        <v>803812.91499098111</v>
      </c>
    </row>
    <row r="63" spans="2:15" ht="15" x14ac:dyDescent="0.25">
      <c r="B63" s="27" t="s">
        <v>732</v>
      </c>
      <c r="C63" s="358" t="s">
        <v>733</v>
      </c>
      <c r="D63" s="368">
        <v>400000</v>
      </c>
      <c r="E63" s="369">
        <v>10</v>
      </c>
      <c r="F63" s="361">
        <f>+D63*E63</f>
        <v>4000000</v>
      </c>
      <c r="G63" s="360">
        <v>2</v>
      </c>
      <c r="H63" s="362">
        <v>0</v>
      </c>
      <c r="I63" s="363">
        <f t="shared" ref="I63:I74" si="16">+F63*H63</f>
        <v>0</v>
      </c>
      <c r="J63" s="364">
        <f t="shared" ref="J63:J76" si="17">+$J$10</f>
        <v>0.02</v>
      </c>
      <c r="K63" s="365">
        <f t="shared" ref="K63:K76" si="18">PMT(J63,G63*12,F63-I63,0)-I63*J63</f>
        <v>-211484.38901299954</v>
      </c>
    </row>
    <row r="64" spans="2:15" ht="15" x14ac:dyDescent="0.25">
      <c r="B64" s="27" t="s">
        <v>734</v>
      </c>
      <c r="C64" s="358" t="s">
        <v>735</v>
      </c>
      <c r="D64" s="368">
        <v>20000000</v>
      </c>
      <c r="E64" s="360">
        <v>1</v>
      </c>
      <c r="F64" s="361">
        <f>+D64*E64</f>
        <v>20000000</v>
      </c>
      <c r="G64" s="360">
        <v>3</v>
      </c>
      <c r="H64" s="362">
        <v>0.5</v>
      </c>
      <c r="I64" s="363">
        <f t="shared" si="16"/>
        <v>10000000</v>
      </c>
      <c r="J64" s="364">
        <f t="shared" si="17"/>
        <v>0.02</v>
      </c>
      <c r="K64" s="365">
        <f t="shared" si="18"/>
        <v>-592328.52597798151</v>
      </c>
    </row>
    <row r="65" spans="2:15" ht="15" x14ac:dyDescent="0.25">
      <c r="B65" s="27" t="s">
        <v>736</v>
      </c>
      <c r="C65" s="606"/>
      <c r="D65" s="368"/>
      <c r="E65" s="360"/>
      <c r="F65" s="361">
        <f>+D65*E65</f>
        <v>0</v>
      </c>
      <c r="G65" s="360">
        <v>5</v>
      </c>
      <c r="H65" s="362">
        <v>0.4</v>
      </c>
      <c r="I65" s="363">
        <f>+F65*H65</f>
        <v>0</v>
      </c>
      <c r="J65" s="364">
        <f t="shared" si="17"/>
        <v>0.02</v>
      </c>
      <c r="K65" s="365">
        <f>PMT(J65,G65*12,F65-I65,0)-I65*J65</f>
        <v>0</v>
      </c>
    </row>
    <row r="66" spans="2:15" ht="15" hidden="1" x14ac:dyDescent="0.25">
      <c r="B66" s="27" t="s">
        <v>737</v>
      </c>
      <c r="C66" s="358"/>
      <c r="D66" s="368"/>
      <c r="E66" s="360"/>
      <c r="F66" s="361">
        <f t="shared" ref="F66:F74" si="19">+D66*E66</f>
        <v>0</v>
      </c>
      <c r="G66" s="360">
        <v>3</v>
      </c>
      <c r="H66" s="362">
        <v>0</v>
      </c>
      <c r="I66" s="363">
        <f t="shared" si="16"/>
        <v>0</v>
      </c>
      <c r="J66" s="364">
        <f t="shared" si="17"/>
        <v>0.02</v>
      </c>
      <c r="K66" s="365">
        <f t="shared" si="18"/>
        <v>0</v>
      </c>
    </row>
    <row r="67" spans="2:15" ht="15" hidden="1" x14ac:dyDescent="0.25">
      <c r="B67" s="27" t="s">
        <v>738</v>
      </c>
      <c r="C67" s="358"/>
      <c r="D67" s="368"/>
      <c r="E67" s="360"/>
      <c r="F67" s="361">
        <f t="shared" si="19"/>
        <v>0</v>
      </c>
      <c r="G67" s="360">
        <v>1</v>
      </c>
      <c r="H67" s="362">
        <v>0</v>
      </c>
      <c r="I67" s="363">
        <f t="shared" si="16"/>
        <v>0</v>
      </c>
      <c r="J67" s="364">
        <f t="shared" si="17"/>
        <v>0.02</v>
      </c>
      <c r="K67" s="365">
        <f t="shared" si="18"/>
        <v>0</v>
      </c>
    </row>
    <row r="68" spans="2:15" ht="15" hidden="1" x14ac:dyDescent="0.25">
      <c r="B68" s="27" t="s">
        <v>739</v>
      </c>
      <c r="C68" s="358"/>
      <c r="D68" s="368"/>
      <c r="E68" s="360"/>
      <c r="F68" s="361">
        <f t="shared" si="19"/>
        <v>0</v>
      </c>
      <c r="G68" s="360">
        <v>1</v>
      </c>
      <c r="H68" s="362">
        <v>0</v>
      </c>
      <c r="I68" s="363">
        <f t="shared" si="16"/>
        <v>0</v>
      </c>
      <c r="J68" s="364">
        <f t="shared" si="17"/>
        <v>0.02</v>
      </c>
      <c r="K68" s="365">
        <f t="shared" si="18"/>
        <v>0</v>
      </c>
    </row>
    <row r="69" spans="2:15" ht="15" hidden="1" x14ac:dyDescent="0.25">
      <c r="B69" s="27" t="s">
        <v>740</v>
      </c>
      <c r="C69" s="358"/>
      <c r="D69" s="368"/>
      <c r="E69" s="360"/>
      <c r="F69" s="361">
        <f t="shared" si="19"/>
        <v>0</v>
      </c>
      <c r="G69" s="360">
        <v>1</v>
      </c>
      <c r="H69" s="362">
        <v>0</v>
      </c>
      <c r="I69" s="363">
        <f t="shared" si="16"/>
        <v>0</v>
      </c>
      <c r="J69" s="364">
        <f t="shared" si="17"/>
        <v>0.02</v>
      </c>
      <c r="K69" s="365">
        <f t="shared" si="18"/>
        <v>0</v>
      </c>
    </row>
    <row r="70" spans="2:15" ht="15" hidden="1" x14ac:dyDescent="0.25">
      <c r="B70" s="27" t="s">
        <v>741</v>
      </c>
      <c r="C70" s="358"/>
      <c r="D70" s="368"/>
      <c r="E70" s="360"/>
      <c r="F70" s="361">
        <f t="shared" si="19"/>
        <v>0</v>
      </c>
      <c r="G70" s="360">
        <v>1</v>
      </c>
      <c r="H70" s="362">
        <v>0</v>
      </c>
      <c r="I70" s="363">
        <f t="shared" si="16"/>
        <v>0</v>
      </c>
      <c r="J70" s="364">
        <f t="shared" si="17"/>
        <v>0.02</v>
      </c>
      <c r="K70" s="365">
        <f t="shared" si="18"/>
        <v>0</v>
      </c>
    </row>
    <row r="71" spans="2:15" ht="15" hidden="1" x14ac:dyDescent="0.25">
      <c r="B71" s="27" t="s">
        <v>742</v>
      </c>
      <c r="C71" s="358"/>
      <c r="D71" s="368"/>
      <c r="E71" s="360"/>
      <c r="F71" s="361">
        <f t="shared" si="19"/>
        <v>0</v>
      </c>
      <c r="G71" s="360">
        <v>1</v>
      </c>
      <c r="H71" s="362">
        <v>0</v>
      </c>
      <c r="I71" s="363">
        <f t="shared" si="16"/>
        <v>0</v>
      </c>
      <c r="J71" s="364">
        <f t="shared" si="17"/>
        <v>0.02</v>
      </c>
      <c r="K71" s="365">
        <f t="shared" si="18"/>
        <v>0</v>
      </c>
    </row>
    <row r="72" spans="2:15" ht="15" hidden="1" x14ac:dyDescent="0.25">
      <c r="B72" s="27" t="s">
        <v>743</v>
      </c>
      <c r="C72" s="358"/>
      <c r="D72" s="368"/>
      <c r="E72" s="360"/>
      <c r="F72" s="361">
        <f t="shared" si="19"/>
        <v>0</v>
      </c>
      <c r="G72" s="360">
        <v>1</v>
      </c>
      <c r="H72" s="362">
        <v>0</v>
      </c>
      <c r="I72" s="363">
        <f t="shared" si="16"/>
        <v>0</v>
      </c>
      <c r="J72" s="364">
        <f t="shared" si="17"/>
        <v>0.02</v>
      </c>
      <c r="K72" s="365">
        <f t="shared" si="18"/>
        <v>0</v>
      </c>
    </row>
    <row r="73" spans="2:15" ht="15" hidden="1" x14ac:dyDescent="0.25">
      <c r="B73" s="27" t="s">
        <v>744</v>
      </c>
      <c r="C73" s="358"/>
      <c r="D73" s="368"/>
      <c r="E73" s="360"/>
      <c r="F73" s="361">
        <f t="shared" si="19"/>
        <v>0</v>
      </c>
      <c r="G73" s="360">
        <v>1</v>
      </c>
      <c r="H73" s="362">
        <v>0</v>
      </c>
      <c r="I73" s="363">
        <f t="shared" si="16"/>
        <v>0</v>
      </c>
      <c r="J73" s="364">
        <f t="shared" si="17"/>
        <v>0.02</v>
      </c>
      <c r="K73" s="365">
        <f t="shared" si="18"/>
        <v>0</v>
      </c>
    </row>
    <row r="74" spans="2:15" ht="15" hidden="1" x14ac:dyDescent="0.25">
      <c r="B74" s="27" t="s">
        <v>745</v>
      </c>
      <c r="C74" s="358"/>
      <c r="D74" s="368"/>
      <c r="E74" s="360"/>
      <c r="F74" s="361">
        <f t="shared" si="19"/>
        <v>0</v>
      </c>
      <c r="G74" s="360">
        <v>1</v>
      </c>
      <c r="H74" s="362">
        <v>0</v>
      </c>
      <c r="I74" s="363">
        <f t="shared" si="16"/>
        <v>0</v>
      </c>
      <c r="J74" s="364">
        <f t="shared" si="17"/>
        <v>0.02</v>
      </c>
      <c r="K74" s="365">
        <f t="shared" si="18"/>
        <v>0</v>
      </c>
    </row>
    <row r="75" spans="2:15" s="26" customFormat="1" ht="15.6" x14ac:dyDescent="0.3">
      <c r="B75" s="25" t="s">
        <v>746</v>
      </c>
      <c r="C75" s="834" t="s">
        <v>747</v>
      </c>
      <c r="D75" s="835"/>
      <c r="E75" s="836"/>
      <c r="F75" s="355">
        <f>SUM(F76:F87)</f>
        <v>0</v>
      </c>
      <c r="G75" s="356"/>
      <c r="H75" s="356"/>
      <c r="I75" s="355">
        <f>SUM(I76:I87)</f>
        <v>0</v>
      </c>
      <c r="J75" s="367"/>
      <c r="K75" s="355">
        <f>SUM(K76:K87)*-1</f>
        <v>0</v>
      </c>
    </row>
    <row r="76" spans="2:15" ht="15" x14ac:dyDescent="0.25">
      <c r="B76" s="27" t="s">
        <v>748</v>
      </c>
      <c r="C76" s="358"/>
      <c r="D76" s="368"/>
      <c r="E76" s="360"/>
      <c r="F76" s="361">
        <f>D76*E76</f>
        <v>0</v>
      </c>
      <c r="G76" s="360">
        <v>3</v>
      </c>
      <c r="H76" s="362">
        <v>0</v>
      </c>
      <c r="I76" s="363">
        <f>+F76*H76</f>
        <v>0</v>
      </c>
      <c r="J76" s="364">
        <f t="shared" si="17"/>
        <v>0.02</v>
      </c>
      <c r="K76" s="365">
        <f t="shared" si="18"/>
        <v>0</v>
      </c>
    </row>
    <row r="77" spans="2:15" ht="15.6" x14ac:dyDescent="0.3">
      <c r="B77" s="27" t="s">
        <v>749</v>
      </c>
      <c r="C77" s="358"/>
      <c r="D77" s="368"/>
      <c r="E77" s="360"/>
      <c r="F77" s="361"/>
      <c r="G77" s="360"/>
      <c r="H77" s="362"/>
      <c r="I77" s="363"/>
      <c r="J77" s="364"/>
      <c r="K77" s="365"/>
      <c r="M77" s="382"/>
      <c r="N77" s="13"/>
      <c r="O77" s="396"/>
    </row>
    <row r="78" spans="2:15" ht="15" hidden="1" x14ac:dyDescent="0.25">
      <c r="B78" s="27" t="s">
        <v>750</v>
      </c>
      <c r="C78" s="358"/>
      <c r="D78" s="368"/>
      <c r="E78" s="360"/>
      <c r="F78" s="361">
        <f t="shared" ref="F78:F87" si="20">+D78*E78</f>
        <v>0</v>
      </c>
      <c r="G78" s="360">
        <v>3</v>
      </c>
      <c r="H78" s="362">
        <v>0</v>
      </c>
      <c r="I78" s="363">
        <f t="shared" ref="I78:I87" si="21">+F78*H78</f>
        <v>0</v>
      </c>
      <c r="J78" s="364">
        <f t="shared" ref="J78:J87" si="22">+$J$10</f>
        <v>0.02</v>
      </c>
      <c r="K78" s="365">
        <f t="shared" ref="K78:K87" si="23">PMT(J78,G78*12,F78-I78,0)-I78*J78</f>
        <v>0</v>
      </c>
    </row>
    <row r="79" spans="2:15" ht="15" hidden="1" x14ac:dyDescent="0.25">
      <c r="B79" s="27" t="s">
        <v>751</v>
      </c>
      <c r="C79" s="358"/>
      <c r="D79" s="368"/>
      <c r="E79" s="360"/>
      <c r="F79" s="361">
        <f t="shared" si="20"/>
        <v>0</v>
      </c>
      <c r="G79" s="360">
        <v>3</v>
      </c>
      <c r="H79" s="362">
        <v>0</v>
      </c>
      <c r="I79" s="363">
        <f t="shared" si="21"/>
        <v>0</v>
      </c>
      <c r="J79" s="364">
        <f t="shared" si="22"/>
        <v>0.02</v>
      </c>
      <c r="K79" s="365">
        <f t="shared" si="23"/>
        <v>0</v>
      </c>
    </row>
    <row r="80" spans="2:15" ht="15" hidden="1" x14ac:dyDescent="0.25">
      <c r="B80" s="27" t="s">
        <v>752</v>
      </c>
      <c r="C80" s="358"/>
      <c r="D80" s="368"/>
      <c r="E80" s="360"/>
      <c r="F80" s="361">
        <f t="shared" si="20"/>
        <v>0</v>
      </c>
      <c r="G80" s="360">
        <v>3</v>
      </c>
      <c r="H80" s="362">
        <v>0</v>
      </c>
      <c r="I80" s="363">
        <f t="shared" si="21"/>
        <v>0</v>
      </c>
      <c r="J80" s="364">
        <f t="shared" si="22"/>
        <v>0.02</v>
      </c>
      <c r="K80" s="365">
        <f t="shared" si="23"/>
        <v>0</v>
      </c>
    </row>
    <row r="81" spans="2:16" ht="15" hidden="1" x14ac:dyDescent="0.25">
      <c r="B81" s="27" t="s">
        <v>753</v>
      </c>
      <c r="C81" s="358"/>
      <c r="D81" s="368"/>
      <c r="E81" s="360"/>
      <c r="F81" s="361">
        <f t="shared" si="20"/>
        <v>0</v>
      </c>
      <c r="G81" s="360">
        <v>3</v>
      </c>
      <c r="H81" s="362">
        <v>0</v>
      </c>
      <c r="I81" s="363">
        <f t="shared" si="21"/>
        <v>0</v>
      </c>
      <c r="J81" s="364">
        <f t="shared" si="22"/>
        <v>0.02</v>
      </c>
      <c r="K81" s="365">
        <f t="shared" si="23"/>
        <v>0</v>
      </c>
    </row>
    <row r="82" spans="2:16" ht="15" hidden="1" x14ac:dyDescent="0.25">
      <c r="B82" s="27" t="s">
        <v>754</v>
      </c>
      <c r="C82" s="358"/>
      <c r="D82" s="368"/>
      <c r="E82" s="360"/>
      <c r="F82" s="361">
        <f t="shared" si="20"/>
        <v>0</v>
      </c>
      <c r="G82" s="360">
        <v>3</v>
      </c>
      <c r="H82" s="362">
        <v>0</v>
      </c>
      <c r="I82" s="363">
        <f t="shared" si="21"/>
        <v>0</v>
      </c>
      <c r="J82" s="364">
        <f t="shared" si="22"/>
        <v>0.02</v>
      </c>
      <c r="K82" s="365">
        <f t="shared" si="23"/>
        <v>0</v>
      </c>
    </row>
    <row r="83" spans="2:16" ht="15" hidden="1" x14ac:dyDescent="0.25">
      <c r="B83" s="27" t="s">
        <v>755</v>
      </c>
      <c r="C83" s="358"/>
      <c r="D83" s="368"/>
      <c r="E83" s="360"/>
      <c r="F83" s="361">
        <f t="shared" si="20"/>
        <v>0</v>
      </c>
      <c r="G83" s="360">
        <v>3</v>
      </c>
      <c r="H83" s="362">
        <v>0</v>
      </c>
      <c r="I83" s="363">
        <f t="shared" si="21"/>
        <v>0</v>
      </c>
      <c r="J83" s="364">
        <f t="shared" si="22"/>
        <v>0.02</v>
      </c>
      <c r="K83" s="365">
        <f t="shared" si="23"/>
        <v>0</v>
      </c>
    </row>
    <row r="84" spans="2:16" ht="15" hidden="1" x14ac:dyDescent="0.25">
      <c r="B84" s="27" t="s">
        <v>756</v>
      </c>
      <c r="C84" s="358"/>
      <c r="D84" s="368"/>
      <c r="E84" s="360"/>
      <c r="F84" s="361">
        <f t="shared" si="20"/>
        <v>0</v>
      </c>
      <c r="G84" s="360">
        <v>3</v>
      </c>
      <c r="H84" s="362">
        <v>0</v>
      </c>
      <c r="I84" s="363">
        <f t="shared" si="21"/>
        <v>0</v>
      </c>
      <c r="J84" s="364">
        <f t="shared" si="22"/>
        <v>0.02</v>
      </c>
      <c r="K84" s="365">
        <f t="shared" si="23"/>
        <v>0</v>
      </c>
    </row>
    <row r="85" spans="2:16" ht="15" hidden="1" x14ac:dyDescent="0.25">
      <c r="B85" s="27" t="s">
        <v>757</v>
      </c>
      <c r="C85" s="358"/>
      <c r="D85" s="368"/>
      <c r="E85" s="360"/>
      <c r="F85" s="361">
        <f t="shared" si="20"/>
        <v>0</v>
      </c>
      <c r="G85" s="360">
        <v>3</v>
      </c>
      <c r="H85" s="362">
        <v>0</v>
      </c>
      <c r="I85" s="363">
        <f t="shared" si="21"/>
        <v>0</v>
      </c>
      <c r="J85" s="364">
        <f t="shared" si="22"/>
        <v>0.02</v>
      </c>
      <c r="K85" s="365">
        <f t="shared" si="23"/>
        <v>0</v>
      </c>
    </row>
    <row r="86" spans="2:16" ht="15" hidden="1" x14ac:dyDescent="0.25">
      <c r="B86" s="27" t="s">
        <v>758</v>
      </c>
      <c r="C86" s="358"/>
      <c r="D86" s="368"/>
      <c r="E86" s="360"/>
      <c r="F86" s="361">
        <f t="shared" si="20"/>
        <v>0</v>
      </c>
      <c r="G86" s="360">
        <v>3</v>
      </c>
      <c r="H86" s="362">
        <v>0</v>
      </c>
      <c r="I86" s="363">
        <f t="shared" si="21"/>
        <v>0</v>
      </c>
      <c r="J86" s="364">
        <f t="shared" si="22"/>
        <v>0.02</v>
      </c>
      <c r="K86" s="365">
        <f t="shared" si="23"/>
        <v>0</v>
      </c>
    </row>
    <row r="87" spans="2:16" ht="15" hidden="1" x14ac:dyDescent="0.25">
      <c r="B87" s="27" t="s">
        <v>759</v>
      </c>
      <c r="C87" s="374"/>
      <c r="D87" s="375"/>
      <c r="E87" s="376"/>
      <c r="F87" s="377">
        <f t="shared" si="20"/>
        <v>0</v>
      </c>
      <c r="G87" s="376">
        <v>3</v>
      </c>
      <c r="H87" s="378">
        <v>0</v>
      </c>
      <c r="I87" s="379">
        <f t="shared" si="21"/>
        <v>0</v>
      </c>
      <c r="J87" s="380">
        <f t="shared" si="22"/>
        <v>0.02</v>
      </c>
      <c r="K87" s="381">
        <f t="shared" si="23"/>
        <v>0</v>
      </c>
    </row>
    <row r="88" spans="2:16" ht="15.6" thickBot="1" x14ac:dyDescent="0.3">
      <c r="C88"/>
      <c r="D88" s="382"/>
      <c r="E88" s="28"/>
      <c r="F88" s="383"/>
      <c r="G88"/>
      <c r="H88"/>
      <c r="I88"/>
      <c r="J88" s="28"/>
      <c r="K88"/>
    </row>
    <row r="89" spans="2:16" s="236" customFormat="1" ht="30" customHeight="1" thickBot="1" x14ac:dyDescent="0.3">
      <c r="B89" s="24"/>
      <c r="C89" s="841" t="s">
        <v>760</v>
      </c>
      <c r="D89" s="842"/>
      <c r="E89" s="842"/>
      <c r="F89" s="397">
        <f>+F10+F23+F36+F49+F62+F75</f>
        <v>144500000</v>
      </c>
      <c r="G89" s="844" t="s">
        <v>761</v>
      </c>
      <c r="H89" s="844"/>
      <c r="I89" s="844"/>
      <c r="J89" s="844"/>
      <c r="K89" s="398">
        <f>+J8*12*'Hoja de CIERRE'!$AD$45</f>
        <v>93761802.127211154</v>
      </c>
      <c r="M89" s="24"/>
      <c r="N89" s="24"/>
      <c r="O89" s="24"/>
    </row>
    <row r="90" spans="2:16" ht="19.8" thickBot="1" x14ac:dyDescent="0.35">
      <c r="C90" s="843"/>
      <c r="D90" s="843"/>
      <c r="F90" s="396"/>
      <c r="M90" s="372"/>
      <c r="N90" s="13"/>
      <c r="O90" s="372"/>
      <c r="P90" s="460"/>
    </row>
    <row r="91" spans="2:16" ht="30" customHeight="1" thickBot="1" x14ac:dyDescent="0.35">
      <c r="D91" s="399" t="s">
        <v>762</v>
      </c>
      <c r="E91" s="400"/>
      <c r="F91" s="401">
        <f>+F89-F75+M77</f>
        <v>144500000</v>
      </c>
      <c r="G91" s="728" t="s">
        <v>763</v>
      </c>
      <c r="H91" s="839"/>
      <c r="I91" s="839"/>
      <c r="J91" s="840"/>
      <c r="K91" s="398">
        <f>+K89-F89</f>
        <v>-50738197.872788846</v>
      </c>
      <c r="M91" s="372"/>
      <c r="N91" s="13"/>
      <c r="O91" s="405"/>
    </row>
    <row r="93" spans="2:16" x14ac:dyDescent="0.25">
      <c r="F93" s="373"/>
    </row>
    <row r="98" spans="9:13" x14ac:dyDescent="0.25">
      <c r="I98" s="413"/>
      <c r="K98" s="413"/>
    </row>
    <row r="99" spans="9:13" x14ac:dyDescent="0.25">
      <c r="I99" s="413"/>
      <c r="K99" s="413"/>
    </row>
    <row r="100" spans="9:13" x14ac:dyDescent="0.25">
      <c r="I100" s="413"/>
      <c r="K100" s="413"/>
    </row>
    <row r="101" spans="9:13" x14ac:dyDescent="0.25">
      <c r="I101" s="413"/>
      <c r="K101" s="413"/>
    </row>
    <row r="102" spans="9:13" x14ac:dyDescent="0.25">
      <c r="K102" s="414"/>
      <c r="M102" s="414"/>
    </row>
    <row r="103" spans="9:13" x14ac:dyDescent="0.25">
      <c r="I103" s="413"/>
      <c r="K103" s="413"/>
    </row>
    <row r="104" spans="9:13" x14ac:dyDescent="0.25">
      <c r="I104" s="413"/>
      <c r="K104" s="413"/>
    </row>
    <row r="105" spans="9:13" x14ac:dyDescent="0.25">
      <c r="K105" s="415"/>
      <c r="M105" s="414"/>
    </row>
    <row r="107" spans="9:13" x14ac:dyDescent="0.25">
      <c r="I107" s="413"/>
      <c r="K107" s="413"/>
    </row>
    <row r="108" spans="9:13" x14ac:dyDescent="0.25">
      <c r="I108" s="413"/>
      <c r="K108" s="413"/>
    </row>
    <row r="109" spans="9:13" x14ac:dyDescent="0.25">
      <c r="I109" s="413"/>
      <c r="K109" s="413"/>
    </row>
    <row r="110" spans="9:13" x14ac:dyDescent="0.25">
      <c r="I110" s="413"/>
      <c r="K110" s="413"/>
    </row>
    <row r="111" spans="9:13" x14ac:dyDescent="0.25">
      <c r="I111" s="413"/>
      <c r="K111" s="413"/>
    </row>
    <row r="112" spans="9:13" x14ac:dyDescent="0.25">
      <c r="I112" s="413"/>
      <c r="K112" s="413"/>
      <c r="M112" s="414"/>
    </row>
    <row r="113" spans="9:13" x14ac:dyDescent="0.25">
      <c r="I113" s="413"/>
      <c r="K113" s="413"/>
    </row>
    <row r="114" spans="9:13" x14ac:dyDescent="0.25">
      <c r="I114" s="413"/>
      <c r="K114" s="413"/>
    </row>
    <row r="115" spans="9:13" x14ac:dyDescent="0.25">
      <c r="I115" s="413"/>
      <c r="K115" s="413"/>
    </row>
    <row r="116" spans="9:13" x14ac:dyDescent="0.25">
      <c r="K116" s="414"/>
      <c r="M116" s="414"/>
    </row>
    <row r="118" spans="9:13" x14ac:dyDescent="0.25">
      <c r="M118" s="413"/>
    </row>
    <row r="121" spans="9:13" x14ac:dyDescent="0.25">
      <c r="M121" s="418"/>
    </row>
  </sheetData>
  <mergeCells count="14">
    <mergeCell ref="C23:E23"/>
    <mergeCell ref="C36:E36"/>
    <mergeCell ref="C49:E49"/>
    <mergeCell ref="C62:E62"/>
    <mergeCell ref="G91:J91"/>
    <mergeCell ref="C89:E89"/>
    <mergeCell ref="C75:E75"/>
    <mergeCell ref="C90:D90"/>
    <mergeCell ref="G89:J89"/>
    <mergeCell ref="B1:K1"/>
    <mergeCell ref="B8:I8"/>
    <mergeCell ref="J8:K8"/>
    <mergeCell ref="C10:E10"/>
    <mergeCell ref="H9:I9"/>
  </mergeCells>
  <phoneticPr fontId="0" type="noConversion"/>
  <printOptions horizontalCentered="1"/>
  <pageMargins left="0.78740157480314965" right="0.39370078740157483" top="0.78740157480314965" bottom="0.39370078740157483" header="0" footer="0"/>
  <pageSetup paperSize="9" scale="53" orientation="landscape" horizontalDpi="300" verticalDpi="300" r:id="rId1"/>
  <headerFooter alignWithMargins="0">
    <oddFooter>&amp;L&amp;P - &amp;N CONFIDENCIAL&amp;C&amp;D&amp;R&amp;F -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3:L126"/>
  <sheetViews>
    <sheetView showGridLines="0" topLeftCell="A73" zoomScale="75" zoomScaleNormal="75" workbookViewId="0">
      <selection activeCell="B82" sqref="B82:E83"/>
    </sheetView>
  </sheetViews>
  <sheetFormatPr baseColWidth="10" defaultColWidth="11.44140625" defaultRowHeight="13.2" x14ac:dyDescent="0.25"/>
  <cols>
    <col min="1" max="1" width="6.33203125" style="481" customWidth="1"/>
    <col min="2" max="2" width="79" customWidth="1"/>
    <col min="3" max="3" width="11.44140625" style="481"/>
    <col min="4" max="4" width="13.109375" style="482" bestFit="1" customWidth="1"/>
    <col min="5" max="5" width="19.88671875" style="481" customWidth="1"/>
    <col min="6" max="6" width="11.44140625" style="481"/>
    <col min="7" max="7" width="108.109375" style="481" bestFit="1" customWidth="1"/>
    <col min="8" max="11" width="11.44140625" style="481"/>
    <col min="12" max="12" width="11.44140625" style="483"/>
    <col min="13" max="16384" width="11.44140625" style="481"/>
  </cols>
  <sheetData>
    <row r="3" spans="1:7" x14ac:dyDescent="0.25">
      <c r="A3" s="484" t="s">
        <v>412</v>
      </c>
      <c r="B3" s="1" t="s">
        <v>18</v>
      </c>
      <c r="C3" s="484" t="s">
        <v>764</v>
      </c>
      <c r="D3" s="485" t="s">
        <v>765</v>
      </c>
      <c r="E3" s="484" t="s">
        <v>766</v>
      </c>
    </row>
    <row r="4" spans="1:7" ht="13.8" x14ac:dyDescent="0.25">
      <c r="A4" s="484"/>
      <c r="B4" s="486"/>
      <c r="C4" s="486"/>
      <c r="D4" s="487"/>
      <c r="E4" s="488"/>
      <c r="G4" s="496" t="s">
        <v>767</v>
      </c>
    </row>
    <row r="5" spans="1:7" ht="13.8" x14ac:dyDescent="0.25">
      <c r="A5" s="484"/>
      <c r="B5" s="486"/>
      <c r="C5" s="486"/>
      <c r="D5" s="487"/>
      <c r="E5" s="488"/>
      <c r="G5" s="496" t="s">
        <v>768</v>
      </c>
    </row>
    <row r="6" spans="1:7" ht="13.8" x14ac:dyDescent="0.25">
      <c r="A6" s="484">
        <v>3</v>
      </c>
      <c r="B6" s="486" t="s">
        <v>769</v>
      </c>
      <c r="C6" s="486">
        <v>6</v>
      </c>
      <c r="D6" s="487">
        <v>25000</v>
      </c>
      <c r="E6" s="488">
        <f t="shared" ref="E6:E13" si="0">C6*D6</f>
        <v>150000</v>
      </c>
      <c r="G6" s="496" t="s">
        <v>770</v>
      </c>
    </row>
    <row r="7" spans="1:7" ht="13.8" x14ac:dyDescent="0.25">
      <c r="A7" s="484">
        <v>4</v>
      </c>
      <c r="B7" s="486"/>
      <c r="C7" s="486"/>
      <c r="D7" s="487"/>
      <c r="E7" s="488"/>
      <c r="G7" s="496" t="s">
        <v>771</v>
      </c>
    </row>
    <row r="8" spans="1:7" ht="13.8" x14ac:dyDescent="0.25">
      <c r="A8" s="484">
        <v>5</v>
      </c>
      <c r="B8" s="486"/>
      <c r="C8" s="486"/>
      <c r="D8" s="487"/>
      <c r="E8" s="488"/>
      <c r="G8" s="496" t="s">
        <v>772</v>
      </c>
    </row>
    <row r="9" spans="1:7" ht="13.8" x14ac:dyDescent="0.25">
      <c r="A9" s="484">
        <v>6</v>
      </c>
      <c r="B9" s="486"/>
      <c r="C9" s="486"/>
      <c r="D9" s="487"/>
      <c r="E9" s="488"/>
      <c r="G9" s="496" t="s">
        <v>773</v>
      </c>
    </row>
    <row r="10" spans="1:7" ht="13.8" x14ac:dyDescent="0.25">
      <c r="A10" s="484">
        <v>7</v>
      </c>
      <c r="B10" s="486" t="s">
        <v>774</v>
      </c>
      <c r="C10" s="486">
        <v>6</v>
      </c>
      <c r="D10" s="487">
        <v>10000</v>
      </c>
      <c r="E10" s="488">
        <f t="shared" si="0"/>
        <v>60000</v>
      </c>
      <c r="G10" s="496" t="s">
        <v>775</v>
      </c>
    </row>
    <row r="11" spans="1:7" ht="13.8" x14ac:dyDescent="0.25">
      <c r="A11" s="484">
        <v>8</v>
      </c>
      <c r="B11" s="486"/>
      <c r="C11" s="486"/>
      <c r="D11" s="487"/>
      <c r="E11" s="488"/>
      <c r="G11" s="496" t="s">
        <v>776</v>
      </c>
    </row>
    <row r="12" spans="1:7" ht="13.8" x14ac:dyDescent="0.25">
      <c r="A12" s="484">
        <v>9</v>
      </c>
      <c r="B12" s="486" t="s">
        <v>777</v>
      </c>
      <c r="C12" s="486">
        <v>4</v>
      </c>
      <c r="D12" s="487">
        <v>16000</v>
      </c>
      <c r="E12" s="488">
        <f t="shared" si="0"/>
        <v>64000</v>
      </c>
      <c r="G12" s="496" t="s">
        <v>778</v>
      </c>
    </row>
    <row r="13" spans="1:7" ht="13.8" x14ac:dyDescent="0.25">
      <c r="A13" s="484">
        <v>10</v>
      </c>
      <c r="B13" s="486" t="s">
        <v>779</v>
      </c>
      <c r="C13" s="486">
        <v>6</v>
      </c>
      <c r="D13" s="487">
        <v>7000</v>
      </c>
      <c r="E13" s="488">
        <f t="shared" si="0"/>
        <v>42000</v>
      </c>
      <c r="G13" s="496" t="s">
        <v>780</v>
      </c>
    </row>
    <row r="14" spans="1:7" ht="13.8" x14ac:dyDescent="0.25">
      <c r="A14" s="484">
        <v>11</v>
      </c>
      <c r="B14" s="486"/>
      <c r="C14" s="486"/>
      <c r="D14" s="487"/>
      <c r="E14" s="488"/>
      <c r="G14" s="496" t="s">
        <v>781</v>
      </c>
    </row>
    <row r="15" spans="1:7" ht="13.8" x14ac:dyDescent="0.25">
      <c r="A15" s="484">
        <v>12</v>
      </c>
      <c r="B15" s="486"/>
      <c r="C15" s="486"/>
      <c r="D15" s="487"/>
      <c r="E15" s="488"/>
      <c r="G15" s="496" t="s">
        <v>782</v>
      </c>
    </row>
    <row r="16" spans="1:7" ht="13.8" x14ac:dyDescent="0.25">
      <c r="A16" s="484">
        <v>13</v>
      </c>
      <c r="B16" s="486"/>
      <c r="C16" s="486"/>
      <c r="D16" s="487"/>
      <c r="E16" s="488"/>
      <c r="G16" s="496" t="s">
        <v>783</v>
      </c>
    </row>
    <row r="17" spans="1:7" ht="13.8" x14ac:dyDescent="0.25">
      <c r="A17" s="484">
        <v>14</v>
      </c>
      <c r="B17" s="486"/>
      <c r="C17" s="486"/>
      <c r="D17" s="487"/>
      <c r="E17" s="488"/>
      <c r="G17" s="496" t="s">
        <v>784</v>
      </c>
    </row>
    <row r="18" spans="1:7" ht="14.4" x14ac:dyDescent="0.25">
      <c r="A18" s="484">
        <v>15</v>
      </c>
      <c r="B18" s="486"/>
      <c r="C18" s="486"/>
      <c r="D18" s="487"/>
      <c r="E18" s="488"/>
      <c r="G18" s="496" t="s">
        <v>785</v>
      </c>
    </row>
    <row r="19" spans="1:7" ht="13.8" x14ac:dyDescent="0.25">
      <c r="A19" s="484">
        <v>16</v>
      </c>
      <c r="B19" s="486"/>
      <c r="C19" s="486"/>
      <c r="D19" s="487"/>
      <c r="E19" s="488"/>
      <c r="G19" s="496" t="s">
        <v>786</v>
      </c>
    </row>
    <row r="20" spans="1:7" ht="13.8" x14ac:dyDescent="0.25">
      <c r="A20" s="484">
        <v>17</v>
      </c>
      <c r="B20" s="486"/>
      <c r="C20" s="486"/>
      <c r="D20" s="487"/>
      <c r="E20" s="488"/>
      <c r="G20" s="496" t="s">
        <v>787</v>
      </c>
    </row>
    <row r="21" spans="1:7" ht="14.4" x14ac:dyDescent="0.25">
      <c r="A21" s="484">
        <v>18</v>
      </c>
      <c r="B21" s="486"/>
      <c r="C21" s="486"/>
      <c r="D21" s="487"/>
      <c r="E21" s="488"/>
      <c r="G21" s="496" t="s">
        <v>788</v>
      </c>
    </row>
    <row r="22" spans="1:7" ht="13.8" x14ac:dyDescent="0.25">
      <c r="A22" s="484">
        <v>19</v>
      </c>
      <c r="B22" s="486"/>
      <c r="C22" s="486"/>
      <c r="D22" s="487"/>
      <c r="E22" s="488"/>
      <c r="G22" s="496" t="s">
        <v>789</v>
      </c>
    </row>
    <row r="23" spans="1:7" ht="13.8" x14ac:dyDescent="0.25">
      <c r="A23" s="484">
        <v>20</v>
      </c>
      <c r="B23" s="486"/>
      <c r="C23" s="486"/>
      <c r="D23" s="487"/>
      <c r="E23" s="488"/>
      <c r="G23" s="496" t="s">
        <v>790</v>
      </c>
    </row>
    <row r="24" spans="1:7" ht="13.8" x14ac:dyDescent="0.25">
      <c r="A24" s="484">
        <v>21</v>
      </c>
      <c r="B24" s="486"/>
      <c r="C24" s="486"/>
      <c r="D24" s="487"/>
      <c r="E24" s="488"/>
      <c r="G24" s="496" t="s">
        <v>791</v>
      </c>
    </row>
    <row r="25" spans="1:7" ht="13.8" x14ac:dyDescent="0.25">
      <c r="A25" s="484">
        <v>22</v>
      </c>
      <c r="B25" s="486"/>
      <c r="C25" s="486"/>
      <c r="D25" s="487"/>
      <c r="E25" s="488"/>
      <c r="G25" s="496" t="s">
        <v>792</v>
      </c>
    </row>
    <row r="26" spans="1:7" ht="13.8" x14ac:dyDescent="0.25">
      <c r="A26" s="484">
        <v>23</v>
      </c>
      <c r="B26" s="486"/>
      <c r="C26" s="486"/>
      <c r="D26" s="487"/>
      <c r="E26" s="488"/>
      <c r="G26" s="496" t="s">
        <v>793</v>
      </c>
    </row>
    <row r="27" spans="1:7" ht="13.8" x14ac:dyDescent="0.25">
      <c r="A27" s="484">
        <v>24</v>
      </c>
      <c r="B27" s="486"/>
      <c r="C27" s="486"/>
      <c r="D27" s="487"/>
      <c r="E27" s="488"/>
      <c r="G27" s="496" t="s">
        <v>794</v>
      </c>
    </row>
    <row r="28" spans="1:7" ht="13.8" x14ac:dyDescent="0.25">
      <c r="A28" s="484">
        <v>25</v>
      </c>
      <c r="B28" s="486"/>
      <c r="C28" s="486"/>
      <c r="D28" s="487"/>
      <c r="E28" s="488"/>
      <c r="G28" s="496" t="s">
        <v>795</v>
      </c>
    </row>
    <row r="29" spans="1:7" ht="13.8" x14ac:dyDescent="0.25">
      <c r="A29" s="484">
        <v>26</v>
      </c>
      <c r="B29" s="486" t="s">
        <v>796</v>
      </c>
      <c r="C29" s="486">
        <v>8</v>
      </c>
      <c r="D29" s="487">
        <v>20000</v>
      </c>
      <c r="E29" s="488">
        <f t="shared" ref="E29:E84" si="1">C29*D29</f>
        <v>160000</v>
      </c>
      <c r="G29" s="496" t="s">
        <v>797</v>
      </c>
    </row>
    <row r="30" spans="1:7" ht="13.8" x14ac:dyDescent="0.25">
      <c r="A30" s="484">
        <v>27</v>
      </c>
      <c r="B30" s="486"/>
      <c r="C30" s="486"/>
      <c r="D30" s="487"/>
      <c r="E30" s="488"/>
      <c r="G30" s="496" t="s">
        <v>798</v>
      </c>
    </row>
    <row r="31" spans="1:7" ht="13.8" x14ac:dyDescent="0.25">
      <c r="A31" s="484">
        <v>28</v>
      </c>
      <c r="B31" s="486" t="s">
        <v>799</v>
      </c>
      <c r="C31" s="486">
        <v>4</v>
      </c>
      <c r="D31" s="487">
        <v>3000</v>
      </c>
      <c r="E31" s="488">
        <f t="shared" si="1"/>
        <v>12000</v>
      </c>
      <c r="G31" s="496" t="s">
        <v>800</v>
      </c>
    </row>
    <row r="32" spans="1:7" ht="13.8" x14ac:dyDescent="0.25">
      <c r="A32" s="484">
        <v>29</v>
      </c>
      <c r="B32" s="486" t="s">
        <v>801</v>
      </c>
      <c r="C32" s="486">
        <v>4</v>
      </c>
      <c r="D32" s="487">
        <v>10000</v>
      </c>
      <c r="E32" s="488">
        <f t="shared" si="1"/>
        <v>40000</v>
      </c>
      <c r="G32" s="496" t="s">
        <v>802</v>
      </c>
    </row>
    <row r="33" spans="1:7" ht="27.6" x14ac:dyDescent="0.25">
      <c r="A33" s="484">
        <v>30</v>
      </c>
      <c r="B33" s="486"/>
      <c r="C33" s="486"/>
      <c r="D33" s="487"/>
      <c r="E33" s="488"/>
      <c r="G33" s="496" t="s">
        <v>803</v>
      </c>
    </row>
    <row r="34" spans="1:7" ht="13.8" x14ac:dyDescent="0.25">
      <c r="A34" s="484">
        <v>31</v>
      </c>
      <c r="B34" s="486"/>
      <c r="C34" s="486"/>
      <c r="D34" s="487"/>
      <c r="E34" s="488"/>
      <c r="G34" s="497"/>
    </row>
    <row r="35" spans="1:7" ht="15.6" x14ac:dyDescent="0.25">
      <c r="A35" s="484">
        <v>32</v>
      </c>
      <c r="B35" s="486"/>
      <c r="C35" s="486"/>
      <c r="D35" s="487"/>
      <c r="E35" s="488"/>
      <c r="G35" s="498" t="s">
        <v>804</v>
      </c>
    </row>
    <row r="36" spans="1:7" x14ac:dyDescent="0.25">
      <c r="A36" s="484">
        <v>33</v>
      </c>
      <c r="B36" s="486"/>
      <c r="C36" s="486"/>
      <c r="D36" s="487"/>
      <c r="E36" s="488"/>
      <c r="G36" s="499"/>
    </row>
    <row r="37" spans="1:7" ht="13.8" x14ac:dyDescent="0.25">
      <c r="A37" s="484">
        <v>34</v>
      </c>
      <c r="B37" s="486"/>
      <c r="C37" s="486"/>
      <c r="D37" s="487"/>
      <c r="E37" s="488"/>
      <c r="G37" s="497" t="s">
        <v>805</v>
      </c>
    </row>
    <row r="38" spans="1:7" ht="13.8" x14ac:dyDescent="0.25">
      <c r="A38" s="484">
        <v>35</v>
      </c>
      <c r="B38" s="486"/>
      <c r="C38" s="486"/>
      <c r="D38" s="487"/>
      <c r="E38" s="488"/>
      <c r="G38" s="497"/>
    </row>
    <row r="39" spans="1:7" ht="14.4" x14ac:dyDescent="0.25">
      <c r="A39" s="484">
        <v>36</v>
      </c>
      <c r="B39" s="486" t="s">
        <v>806</v>
      </c>
      <c r="C39" s="486">
        <v>2</v>
      </c>
      <c r="D39" s="487">
        <v>18665.990000000002</v>
      </c>
      <c r="E39" s="488">
        <f t="shared" si="1"/>
        <v>37331.980000000003</v>
      </c>
      <c r="G39" s="500" t="s">
        <v>807</v>
      </c>
    </row>
    <row r="40" spans="1:7" ht="14.4" x14ac:dyDescent="0.25">
      <c r="A40" s="484">
        <v>37</v>
      </c>
      <c r="B40" s="486" t="s">
        <v>808</v>
      </c>
      <c r="C40" s="486">
        <v>2</v>
      </c>
      <c r="D40" s="487">
        <v>18665.990000000002</v>
      </c>
      <c r="E40" s="488">
        <f t="shared" si="1"/>
        <v>37331.980000000003</v>
      </c>
      <c r="G40" s="501" t="s">
        <v>809</v>
      </c>
    </row>
    <row r="41" spans="1:7" ht="14.4" x14ac:dyDescent="0.25">
      <c r="A41" s="484">
        <v>38</v>
      </c>
      <c r="B41" s="486" t="s">
        <v>810</v>
      </c>
      <c r="C41" s="486">
        <v>3</v>
      </c>
      <c r="D41" s="487">
        <v>30000</v>
      </c>
      <c r="E41" s="488">
        <f t="shared" si="1"/>
        <v>90000</v>
      </c>
      <c r="G41" s="500" t="s">
        <v>811</v>
      </c>
    </row>
    <row r="42" spans="1:7" ht="14.4" x14ac:dyDescent="0.25">
      <c r="A42" s="484">
        <v>39</v>
      </c>
      <c r="B42" s="486" t="s">
        <v>812</v>
      </c>
      <c r="C42" s="486">
        <v>3</v>
      </c>
      <c r="D42" s="487">
        <v>2000</v>
      </c>
      <c r="E42" s="488">
        <f t="shared" si="1"/>
        <v>6000</v>
      </c>
      <c r="G42" s="501" t="s">
        <v>813</v>
      </c>
    </row>
    <row r="43" spans="1:7" ht="14.4" x14ac:dyDescent="0.25">
      <c r="A43" s="484">
        <v>40</v>
      </c>
      <c r="B43" s="486" t="s">
        <v>814</v>
      </c>
      <c r="C43" s="486">
        <v>3</v>
      </c>
      <c r="D43" s="487">
        <v>2000</v>
      </c>
      <c r="E43" s="488">
        <f t="shared" si="1"/>
        <v>6000</v>
      </c>
      <c r="G43" s="500" t="s">
        <v>815</v>
      </c>
    </row>
    <row r="44" spans="1:7" ht="14.4" x14ac:dyDescent="0.25">
      <c r="A44" s="484">
        <v>41</v>
      </c>
      <c r="B44" s="486" t="s">
        <v>816</v>
      </c>
      <c r="C44" s="486">
        <v>3</v>
      </c>
      <c r="D44" s="487">
        <v>10000</v>
      </c>
      <c r="E44" s="488">
        <f t="shared" si="1"/>
        <v>30000</v>
      </c>
      <c r="G44" s="500" t="s">
        <v>817</v>
      </c>
    </row>
    <row r="45" spans="1:7" x14ac:dyDescent="0.25">
      <c r="A45" s="484">
        <v>42</v>
      </c>
      <c r="B45" s="486" t="s">
        <v>818</v>
      </c>
      <c r="C45" s="486">
        <v>3</v>
      </c>
      <c r="D45" s="487">
        <v>30000</v>
      </c>
      <c r="E45" s="488">
        <f t="shared" si="1"/>
        <v>90000</v>
      </c>
    </row>
    <row r="46" spans="1:7" x14ac:dyDescent="0.25">
      <c r="A46" s="484">
        <v>43</v>
      </c>
      <c r="B46" s="486" t="s">
        <v>819</v>
      </c>
      <c r="C46" s="486">
        <v>3</v>
      </c>
      <c r="D46" s="487">
        <v>15000</v>
      </c>
      <c r="E46" s="488">
        <f t="shared" si="1"/>
        <v>45000</v>
      </c>
    </row>
    <row r="47" spans="1:7" x14ac:dyDescent="0.25">
      <c r="A47" s="484">
        <v>44</v>
      </c>
      <c r="B47" s="486" t="s">
        <v>820</v>
      </c>
      <c r="C47" s="486">
        <v>3</v>
      </c>
      <c r="D47" s="487">
        <v>2500</v>
      </c>
      <c r="E47" s="488">
        <f t="shared" si="1"/>
        <v>7500</v>
      </c>
    </row>
    <row r="48" spans="1:7" x14ac:dyDescent="0.25">
      <c r="A48" s="484">
        <v>45</v>
      </c>
      <c r="B48" s="486" t="s">
        <v>821</v>
      </c>
      <c r="C48" s="486">
        <v>3</v>
      </c>
      <c r="D48" s="487">
        <v>5000</v>
      </c>
      <c r="E48" s="488">
        <f t="shared" si="1"/>
        <v>15000</v>
      </c>
    </row>
    <row r="49" spans="1:5" x14ac:dyDescent="0.25">
      <c r="A49" s="484">
        <v>46</v>
      </c>
      <c r="B49" s="486" t="s">
        <v>822</v>
      </c>
      <c r="C49" s="486">
        <v>3</v>
      </c>
      <c r="D49" s="487">
        <v>30000</v>
      </c>
      <c r="E49" s="488">
        <f t="shared" si="1"/>
        <v>90000</v>
      </c>
    </row>
    <row r="50" spans="1:5" x14ac:dyDescent="0.25">
      <c r="A50" s="484">
        <v>47</v>
      </c>
      <c r="B50" s="486" t="s">
        <v>823</v>
      </c>
      <c r="C50" s="486">
        <v>2</v>
      </c>
      <c r="D50" s="487">
        <v>3000</v>
      </c>
      <c r="E50" s="488">
        <f t="shared" si="1"/>
        <v>6000</v>
      </c>
    </row>
    <row r="51" spans="1:5" x14ac:dyDescent="0.25">
      <c r="A51" s="484">
        <v>48</v>
      </c>
      <c r="B51" s="486"/>
      <c r="C51" s="486"/>
      <c r="D51" s="487"/>
      <c r="E51" s="488"/>
    </row>
    <row r="52" spans="1:5" x14ac:dyDescent="0.25">
      <c r="A52" s="484">
        <v>49</v>
      </c>
      <c r="B52" s="486"/>
      <c r="C52" s="486"/>
      <c r="D52" s="487"/>
      <c r="E52" s="488"/>
    </row>
    <row r="53" spans="1:5" x14ac:dyDescent="0.25">
      <c r="A53" s="484">
        <v>50</v>
      </c>
      <c r="B53" s="486"/>
      <c r="C53" s="486"/>
      <c r="D53" s="487"/>
      <c r="E53" s="488"/>
    </row>
    <row r="54" spans="1:5" x14ac:dyDescent="0.25">
      <c r="A54" s="484">
        <v>51</v>
      </c>
      <c r="B54" s="486"/>
      <c r="C54" s="486"/>
      <c r="D54" s="487"/>
      <c r="E54" s="488"/>
    </row>
    <row r="55" spans="1:5" x14ac:dyDescent="0.25">
      <c r="A55" s="484">
        <v>52</v>
      </c>
      <c r="B55" s="486"/>
      <c r="C55" s="486"/>
      <c r="D55" s="487"/>
      <c r="E55" s="488"/>
    </row>
    <row r="56" spans="1:5" x14ac:dyDescent="0.25">
      <c r="A56" s="484">
        <v>53</v>
      </c>
      <c r="B56" s="486"/>
      <c r="C56" s="486"/>
      <c r="D56" s="487"/>
      <c r="E56" s="488"/>
    </row>
    <row r="57" spans="1:5" x14ac:dyDescent="0.25">
      <c r="A57" s="484">
        <v>54</v>
      </c>
      <c r="B57" s="486"/>
      <c r="C57" s="486"/>
      <c r="D57" s="487"/>
      <c r="E57" s="488"/>
    </row>
    <row r="58" spans="1:5" x14ac:dyDescent="0.25">
      <c r="A58" s="484">
        <v>55</v>
      </c>
      <c r="B58" s="486"/>
      <c r="C58" s="486"/>
      <c r="D58" s="487"/>
      <c r="E58" s="488"/>
    </row>
    <row r="59" spans="1:5" x14ac:dyDescent="0.25">
      <c r="A59" s="484">
        <v>56</v>
      </c>
      <c r="B59" s="486"/>
      <c r="C59" s="486"/>
      <c r="D59" s="487"/>
      <c r="E59" s="488"/>
    </row>
    <row r="60" spans="1:5" ht="26.4" x14ac:dyDescent="0.25">
      <c r="A60" s="484">
        <v>57</v>
      </c>
      <c r="B60" s="486" t="s">
        <v>824</v>
      </c>
      <c r="C60" s="486">
        <v>8</v>
      </c>
      <c r="D60" s="487">
        <v>5000</v>
      </c>
      <c r="E60" s="488">
        <f t="shared" si="1"/>
        <v>40000</v>
      </c>
    </row>
    <row r="61" spans="1:5" x14ac:dyDescent="0.25">
      <c r="A61" s="484">
        <v>58</v>
      </c>
      <c r="B61" s="486"/>
      <c r="C61" s="486"/>
      <c r="D61" s="487"/>
      <c r="E61" s="488"/>
    </row>
    <row r="62" spans="1:5" x14ac:dyDescent="0.25">
      <c r="A62" s="484">
        <v>59</v>
      </c>
      <c r="B62" s="486"/>
      <c r="C62" s="486"/>
      <c r="D62" s="487"/>
      <c r="E62" s="488"/>
    </row>
    <row r="63" spans="1:5" x14ac:dyDescent="0.25">
      <c r="A63" s="484">
        <v>60</v>
      </c>
      <c r="B63" s="486"/>
      <c r="C63" s="486"/>
      <c r="D63" s="487"/>
      <c r="E63" s="488"/>
    </row>
    <row r="64" spans="1:5" x14ac:dyDescent="0.25">
      <c r="A64" s="484">
        <v>61</v>
      </c>
      <c r="B64" s="486"/>
      <c r="C64" s="486"/>
      <c r="D64" s="487"/>
      <c r="E64" s="488"/>
    </row>
    <row r="65" spans="1:5" x14ac:dyDescent="0.25">
      <c r="A65" s="484">
        <v>62</v>
      </c>
      <c r="B65" s="486"/>
      <c r="C65" s="486"/>
      <c r="D65" s="487"/>
      <c r="E65" s="488"/>
    </row>
    <row r="66" spans="1:5" x14ac:dyDescent="0.25">
      <c r="A66" s="484">
        <v>63</v>
      </c>
      <c r="B66" s="486"/>
      <c r="C66" s="486"/>
      <c r="D66" s="487"/>
      <c r="E66" s="488"/>
    </row>
    <row r="67" spans="1:5" x14ac:dyDescent="0.25">
      <c r="A67" s="484">
        <v>64</v>
      </c>
      <c r="B67" s="486" t="s">
        <v>825</v>
      </c>
      <c r="C67" s="486">
        <v>4</v>
      </c>
      <c r="D67" s="487">
        <v>3000</v>
      </c>
      <c r="E67" s="488">
        <f t="shared" si="1"/>
        <v>12000</v>
      </c>
    </row>
    <row r="68" spans="1:5" x14ac:dyDescent="0.25">
      <c r="A68" s="484">
        <v>65</v>
      </c>
      <c r="B68" s="486"/>
      <c r="C68" s="486"/>
      <c r="D68" s="487"/>
      <c r="E68" s="488"/>
    </row>
    <row r="69" spans="1:5" x14ac:dyDescent="0.25">
      <c r="A69" s="484">
        <v>66</v>
      </c>
      <c r="B69" s="486"/>
      <c r="C69" s="486"/>
      <c r="D69" s="487"/>
      <c r="E69" s="488"/>
    </row>
    <row r="70" spans="1:5" x14ac:dyDescent="0.25">
      <c r="A70" s="484">
        <v>67</v>
      </c>
      <c r="B70" s="486"/>
      <c r="C70" s="486"/>
      <c r="D70" s="487"/>
      <c r="E70" s="488"/>
    </row>
    <row r="71" spans="1:5" x14ac:dyDescent="0.25">
      <c r="A71" s="484">
        <v>68</v>
      </c>
      <c r="B71" s="486"/>
      <c r="C71" s="486"/>
      <c r="D71" s="487"/>
      <c r="E71" s="488"/>
    </row>
    <row r="72" spans="1:5" x14ac:dyDescent="0.25">
      <c r="A72" s="484">
        <v>72</v>
      </c>
      <c r="B72" s="486"/>
      <c r="C72" s="486"/>
      <c r="D72" s="487"/>
      <c r="E72" s="488"/>
    </row>
    <row r="73" spans="1:5" x14ac:dyDescent="0.25">
      <c r="A73" s="484">
        <v>76</v>
      </c>
      <c r="B73" s="486" t="s">
        <v>826</v>
      </c>
      <c r="C73" s="486">
        <v>6</v>
      </c>
      <c r="D73" s="487">
        <v>15000</v>
      </c>
      <c r="E73" s="488">
        <f t="shared" si="1"/>
        <v>90000</v>
      </c>
    </row>
    <row r="74" spans="1:5" ht="26.4" x14ac:dyDescent="0.25">
      <c r="A74" s="484">
        <v>77</v>
      </c>
      <c r="B74" s="486" t="s">
        <v>827</v>
      </c>
      <c r="C74" s="486">
        <v>2</v>
      </c>
      <c r="D74" s="487">
        <v>3000</v>
      </c>
      <c r="E74" s="488">
        <f t="shared" si="1"/>
        <v>6000</v>
      </c>
    </row>
    <row r="75" spans="1:5" x14ac:dyDescent="0.25">
      <c r="A75" s="484">
        <v>80</v>
      </c>
      <c r="B75" s="486" t="s">
        <v>828</v>
      </c>
      <c r="C75" s="486">
        <v>2</v>
      </c>
      <c r="D75" s="487">
        <v>3000</v>
      </c>
      <c r="E75" s="488">
        <f t="shared" si="1"/>
        <v>6000</v>
      </c>
    </row>
    <row r="76" spans="1:5" x14ac:dyDescent="0.25">
      <c r="A76" s="484">
        <v>81</v>
      </c>
      <c r="B76" s="486" t="s">
        <v>829</v>
      </c>
      <c r="C76" s="486">
        <v>2</v>
      </c>
      <c r="D76" s="487">
        <v>3000</v>
      </c>
      <c r="E76" s="488">
        <f t="shared" si="1"/>
        <v>6000</v>
      </c>
    </row>
    <row r="77" spans="1:5" x14ac:dyDescent="0.25">
      <c r="A77" s="484">
        <v>82</v>
      </c>
      <c r="B77" s="486" t="s">
        <v>830</v>
      </c>
      <c r="C77" s="486">
        <v>2</v>
      </c>
      <c r="D77" s="487">
        <v>15000</v>
      </c>
      <c r="E77" s="488">
        <f t="shared" si="1"/>
        <v>30000</v>
      </c>
    </row>
    <row r="78" spans="1:5" x14ac:dyDescent="0.25">
      <c r="A78" s="484">
        <v>83</v>
      </c>
      <c r="B78" s="486" t="s">
        <v>831</v>
      </c>
      <c r="C78" s="486">
        <v>2</v>
      </c>
      <c r="D78" s="487">
        <v>8000</v>
      </c>
      <c r="E78" s="488">
        <f t="shared" si="1"/>
        <v>16000</v>
      </c>
    </row>
    <row r="79" spans="1:5" ht="39.6" x14ac:dyDescent="0.25">
      <c r="A79" s="484">
        <v>84</v>
      </c>
      <c r="B79" s="486" t="s">
        <v>832</v>
      </c>
      <c r="C79" s="486">
        <v>4</v>
      </c>
      <c r="D79" s="487">
        <v>10000</v>
      </c>
      <c r="E79" s="488">
        <f t="shared" si="1"/>
        <v>40000</v>
      </c>
    </row>
    <row r="80" spans="1:5" x14ac:dyDescent="0.25">
      <c r="A80" s="484"/>
      <c r="B80" s="486"/>
      <c r="C80" s="486"/>
      <c r="D80" s="487"/>
      <c r="E80" s="488">
        <f t="shared" si="1"/>
        <v>0</v>
      </c>
    </row>
    <row r="81" spans="1:5" x14ac:dyDescent="0.25">
      <c r="A81" s="484"/>
      <c r="B81" s="486"/>
      <c r="C81" s="486"/>
      <c r="D81" s="487"/>
      <c r="E81" s="488">
        <f t="shared" si="1"/>
        <v>0</v>
      </c>
    </row>
    <row r="82" spans="1:5" x14ac:dyDescent="0.25">
      <c r="A82" s="484"/>
      <c r="B82" s="486"/>
      <c r="C82" s="486"/>
      <c r="D82" s="487"/>
      <c r="E82" s="488"/>
    </row>
    <row r="83" spans="1:5" x14ac:dyDescent="0.25">
      <c r="A83" s="484"/>
      <c r="B83" s="486"/>
      <c r="C83" s="486"/>
      <c r="D83" s="487"/>
      <c r="E83" s="488"/>
    </row>
    <row r="84" spans="1:5" x14ac:dyDescent="0.25">
      <c r="A84" s="484"/>
      <c r="B84" s="486"/>
      <c r="C84" s="486"/>
      <c r="D84" s="487"/>
      <c r="E84" s="488">
        <f t="shared" si="1"/>
        <v>0</v>
      </c>
    </row>
    <row r="85" spans="1:5" x14ac:dyDescent="0.25">
      <c r="A85" s="484"/>
      <c r="B85" s="486"/>
      <c r="C85" s="486"/>
      <c r="D85" s="487"/>
      <c r="E85" s="488"/>
    </row>
    <row r="86" spans="1:5" x14ac:dyDescent="0.25">
      <c r="A86" s="484"/>
      <c r="B86" s="486"/>
      <c r="C86" s="486"/>
      <c r="D86" s="487"/>
      <c r="E86" s="488"/>
    </row>
    <row r="87" spans="1:5" x14ac:dyDescent="0.25">
      <c r="A87" s="484"/>
      <c r="B87" s="486"/>
      <c r="C87" s="486"/>
      <c r="D87" s="487"/>
      <c r="E87" s="488"/>
    </row>
    <row r="88" spans="1:5" x14ac:dyDescent="0.25">
      <c r="A88" s="484"/>
      <c r="B88" s="486" t="s">
        <v>833</v>
      </c>
      <c r="C88" s="486">
        <v>1</v>
      </c>
      <c r="D88" s="487">
        <f>5000*65*75%</f>
        <v>243750</v>
      </c>
      <c r="E88" s="488">
        <f t="shared" ref="E88:E93" si="2">C88*D88</f>
        <v>243750</v>
      </c>
    </row>
    <row r="89" spans="1:5" ht="26.4" x14ac:dyDescent="0.25">
      <c r="A89" s="484"/>
      <c r="B89" s="486" t="s">
        <v>834</v>
      </c>
      <c r="C89" s="486">
        <v>2</v>
      </c>
      <c r="D89" s="607">
        <f>121*65</f>
        <v>7865</v>
      </c>
      <c r="E89" s="488">
        <f t="shared" si="2"/>
        <v>15730</v>
      </c>
    </row>
    <row r="90" spans="1:5" x14ac:dyDescent="0.25">
      <c r="A90" s="484"/>
      <c r="B90" s="486" t="s">
        <v>835</v>
      </c>
      <c r="C90" s="486">
        <v>2</v>
      </c>
      <c r="D90" s="487">
        <f>72*65</f>
        <v>4680</v>
      </c>
      <c r="E90" s="488">
        <f t="shared" si="2"/>
        <v>9360</v>
      </c>
    </row>
    <row r="91" spans="1:5" x14ac:dyDescent="0.25">
      <c r="A91" s="484"/>
      <c r="B91" s="486" t="s">
        <v>836</v>
      </c>
      <c r="C91" s="486">
        <v>1</v>
      </c>
      <c r="D91" s="487">
        <f>4200*65*75%</f>
        <v>204750</v>
      </c>
      <c r="E91" s="488">
        <f t="shared" si="2"/>
        <v>204750</v>
      </c>
    </row>
    <row r="92" spans="1:5" x14ac:dyDescent="0.25">
      <c r="A92" s="484"/>
      <c r="B92" s="486" t="s">
        <v>837</v>
      </c>
      <c r="C92" s="486">
        <v>0</v>
      </c>
      <c r="D92" s="487">
        <f>3000*65</f>
        <v>195000</v>
      </c>
      <c r="E92" s="488">
        <f t="shared" si="2"/>
        <v>0</v>
      </c>
    </row>
    <row r="93" spans="1:5" x14ac:dyDescent="0.25">
      <c r="A93" s="484"/>
      <c r="B93" s="486" t="s">
        <v>838</v>
      </c>
      <c r="C93" s="486">
        <v>6</v>
      </c>
      <c r="D93" s="487">
        <f>250*65</f>
        <v>16250</v>
      </c>
      <c r="E93" s="488">
        <f t="shared" si="2"/>
        <v>97500</v>
      </c>
    </row>
    <row r="94" spans="1:5" x14ac:dyDescent="0.25">
      <c r="A94" s="484"/>
      <c r="B94" s="486"/>
      <c r="C94" s="486"/>
      <c r="D94" s="487"/>
      <c r="E94" s="488"/>
    </row>
    <row r="95" spans="1:5" x14ac:dyDescent="0.25">
      <c r="A95" s="484"/>
      <c r="B95" s="486"/>
      <c r="C95" s="486"/>
      <c r="D95" s="487"/>
      <c r="E95" s="488"/>
    </row>
    <row r="96" spans="1:5" x14ac:dyDescent="0.25">
      <c r="A96" s="484"/>
      <c r="B96" s="486"/>
      <c r="C96" s="486"/>
      <c r="D96" s="487"/>
      <c r="E96" s="488"/>
    </row>
    <row r="97" spans="1:5" x14ac:dyDescent="0.25">
      <c r="A97" s="484"/>
      <c r="B97" s="486"/>
      <c r="C97" s="486"/>
      <c r="D97" s="487"/>
      <c r="E97" s="488"/>
    </row>
    <row r="98" spans="1:5" x14ac:dyDescent="0.25">
      <c r="A98" s="484"/>
      <c r="B98" s="486"/>
      <c r="C98" s="486"/>
      <c r="D98" s="487"/>
      <c r="E98" s="488"/>
    </row>
    <row r="99" spans="1:5" x14ac:dyDescent="0.25">
      <c r="A99" s="484"/>
      <c r="B99" s="486"/>
      <c r="C99" s="486"/>
      <c r="D99" s="487"/>
      <c r="E99" s="488"/>
    </row>
    <row r="100" spans="1:5" x14ac:dyDescent="0.25">
      <c r="A100" s="484"/>
      <c r="B100" s="486"/>
      <c r="C100" s="486"/>
      <c r="D100" s="487"/>
      <c r="E100" s="488"/>
    </row>
    <row r="101" spans="1:5" x14ac:dyDescent="0.25">
      <c r="A101" s="484"/>
      <c r="B101" s="486"/>
      <c r="C101" s="486"/>
      <c r="D101" s="487"/>
      <c r="E101" s="488"/>
    </row>
    <row r="102" spans="1:5" x14ac:dyDescent="0.25">
      <c r="A102" s="484"/>
      <c r="B102" s="486"/>
      <c r="C102" s="486"/>
      <c r="D102" s="487"/>
      <c r="E102" s="488"/>
    </row>
    <row r="103" spans="1:5" x14ac:dyDescent="0.25">
      <c r="A103" s="484"/>
      <c r="B103" s="486"/>
      <c r="C103" s="486"/>
      <c r="D103" s="487"/>
      <c r="E103" s="488"/>
    </row>
    <row r="104" spans="1:5" x14ac:dyDescent="0.25">
      <c r="A104" s="484"/>
      <c r="B104" s="486"/>
      <c r="C104" s="486"/>
      <c r="D104" s="487"/>
      <c r="E104" s="488"/>
    </row>
    <row r="105" spans="1:5" x14ac:dyDescent="0.25">
      <c r="A105" s="484"/>
      <c r="B105" s="486"/>
      <c r="C105" s="486"/>
      <c r="D105" s="487"/>
      <c r="E105" s="488"/>
    </row>
    <row r="106" spans="1:5" x14ac:dyDescent="0.25">
      <c r="A106" s="484"/>
      <c r="B106" s="486"/>
      <c r="C106" s="486"/>
      <c r="D106" s="487"/>
      <c r="E106" s="488"/>
    </row>
    <row r="107" spans="1:5" x14ac:dyDescent="0.25">
      <c r="A107" s="484"/>
      <c r="B107" s="486"/>
      <c r="C107" s="486"/>
      <c r="D107" s="487"/>
      <c r="E107" s="488"/>
    </row>
    <row r="108" spans="1:5" x14ac:dyDescent="0.25">
      <c r="A108" s="484"/>
      <c r="B108" s="486"/>
      <c r="C108" s="486"/>
      <c r="D108" s="487"/>
      <c r="E108" s="488"/>
    </row>
    <row r="109" spans="1:5" x14ac:dyDescent="0.25">
      <c r="A109" s="484"/>
      <c r="B109" s="486"/>
      <c r="C109" s="486"/>
      <c r="D109" s="487"/>
      <c r="E109" s="488"/>
    </row>
    <row r="110" spans="1:5" x14ac:dyDescent="0.25">
      <c r="A110" s="484"/>
      <c r="B110" s="486"/>
      <c r="C110" s="486"/>
      <c r="D110" s="487"/>
      <c r="E110" s="488"/>
    </row>
    <row r="111" spans="1:5" x14ac:dyDescent="0.25">
      <c r="A111" s="484"/>
      <c r="B111" s="486"/>
      <c r="C111" s="486"/>
      <c r="D111" s="487"/>
      <c r="E111" s="488"/>
    </row>
    <row r="112" spans="1:5" x14ac:dyDescent="0.25">
      <c r="A112" s="484"/>
      <c r="B112" s="486"/>
      <c r="C112" s="486"/>
      <c r="D112" s="487"/>
      <c r="E112" s="488"/>
    </row>
    <row r="113" spans="1:5" x14ac:dyDescent="0.25">
      <c r="A113" s="484"/>
      <c r="B113" s="486"/>
      <c r="C113" s="486"/>
      <c r="D113" s="487"/>
      <c r="E113" s="488"/>
    </row>
    <row r="114" spans="1:5" x14ac:dyDescent="0.25">
      <c r="A114" s="484"/>
      <c r="B114" s="486"/>
      <c r="C114" s="486"/>
      <c r="D114" s="487"/>
      <c r="E114" s="488"/>
    </row>
    <row r="115" spans="1:5" x14ac:dyDescent="0.25">
      <c r="A115" s="484"/>
      <c r="B115" s="486"/>
      <c r="C115" s="486"/>
      <c r="D115" s="487"/>
      <c r="E115" s="488"/>
    </row>
    <row r="116" spans="1:5" x14ac:dyDescent="0.25">
      <c r="A116" s="484"/>
      <c r="B116" s="486"/>
      <c r="C116" s="486"/>
      <c r="D116" s="487"/>
      <c r="E116" s="488"/>
    </row>
    <row r="117" spans="1:5" x14ac:dyDescent="0.25">
      <c r="A117" s="484"/>
      <c r="B117" s="486"/>
      <c r="C117" s="486"/>
      <c r="D117" s="487"/>
      <c r="E117" s="488"/>
    </row>
    <row r="118" spans="1:5" x14ac:dyDescent="0.25">
      <c r="A118" s="484"/>
      <c r="B118" s="486"/>
      <c r="C118" s="486"/>
      <c r="D118" s="487"/>
      <c r="E118" s="488"/>
    </row>
    <row r="119" spans="1:5" x14ac:dyDescent="0.25">
      <c r="A119" s="484"/>
      <c r="B119" s="486"/>
      <c r="C119" s="486"/>
      <c r="D119" s="487"/>
      <c r="E119" s="488"/>
    </row>
    <row r="120" spans="1:5" x14ac:dyDescent="0.25">
      <c r="A120" s="484"/>
      <c r="B120" s="486"/>
      <c r="C120" s="486"/>
      <c r="D120" s="487"/>
      <c r="E120" s="488"/>
    </row>
    <row r="121" spans="1:5" x14ac:dyDescent="0.25">
      <c r="A121" s="484"/>
      <c r="B121" s="486"/>
      <c r="C121" s="486"/>
      <c r="D121" s="487"/>
      <c r="E121" s="488"/>
    </row>
    <row r="122" spans="1:5" x14ac:dyDescent="0.25">
      <c r="A122" s="484"/>
      <c r="B122" s="486"/>
      <c r="C122" s="486"/>
      <c r="D122" s="487"/>
      <c r="E122" s="488"/>
    </row>
    <row r="123" spans="1:5" x14ac:dyDescent="0.25">
      <c r="A123" s="484"/>
      <c r="B123" s="486"/>
      <c r="C123" s="486"/>
      <c r="D123" s="487"/>
      <c r="E123" s="488">
        <f>C123*D123</f>
        <v>0</v>
      </c>
    </row>
    <row r="124" spans="1:5" x14ac:dyDescent="0.25">
      <c r="A124" s="484"/>
      <c r="B124" s="486"/>
      <c r="C124" s="486"/>
      <c r="D124" s="487"/>
      <c r="E124" s="488">
        <f>C124*D124</f>
        <v>0</v>
      </c>
    </row>
    <row r="125" spans="1:5" x14ac:dyDescent="0.25">
      <c r="A125" s="484"/>
      <c r="B125" s="486"/>
      <c r="C125" s="486"/>
      <c r="D125" s="487"/>
      <c r="E125" s="488">
        <f>C125*D125</f>
        <v>0</v>
      </c>
    </row>
    <row r="126" spans="1:5" x14ac:dyDescent="0.25">
      <c r="E126" s="489">
        <f>SUM(E4:E125)</f>
        <v>1805253.96</v>
      </c>
    </row>
  </sheetData>
  <pageMargins left="0.2" right="0.21" top="0.17" bottom="0.18" header="0.28000000000000003" footer="0"/>
  <pageSetup paperSize="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6c7bf8-4ce7-4db2-81a6-3f2fb3ee6412">
      <Terms xmlns="http://schemas.microsoft.com/office/infopath/2007/PartnerControls"/>
    </lcf76f155ced4ddcb4097134ff3c332f>
    <TaxCatchAll xmlns="cf1c41ac-5426-47ae-a216-78ef3a736f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E7A99A-5F99-4F67-8377-6EF3805B2F43}">
  <ds:schemaRefs>
    <ds:schemaRef ds:uri="http://schemas.microsoft.com/office/2006/metadata/properties"/>
    <ds:schemaRef ds:uri="http://schemas.microsoft.com/office/infopath/2007/PartnerControls"/>
    <ds:schemaRef ds:uri="4a6f74cc-556d-46ab-b0a9-ded62c4c3d7e"/>
    <ds:schemaRef ds:uri="6897e09a-1741-43e2-85a9-02a626704041"/>
    <ds:schemaRef ds:uri="74405dc2-3d7d-45d4-92bf-2566cc16e157"/>
    <ds:schemaRef ds:uri="91113374-2812-4dc2-a0cd-dbc9782c99f7"/>
    <ds:schemaRef ds:uri="7b6c7bf8-4ce7-4db2-81a6-3f2fb3ee6412"/>
    <ds:schemaRef ds:uri="cf1c41ac-5426-47ae-a216-78ef3a736f94"/>
  </ds:schemaRefs>
</ds:datastoreItem>
</file>

<file path=customXml/itemProps2.xml><?xml version="1.0" encoding="utf-8"?>
<ds:datastoreItem xmlns:ds="http://schemas.openxmlformats.org/officeDocument/2006/customXml" ds:itemID="{CE9F69B1-F686-4E23-9EBA-9C949A3924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68EC61-70D5-4752-85FE-79D57767C1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c7bf8-4ce7-4db2-81a6-3f2fb3ee6412"/>
    <ds:schemaRef ds:uri="cf1c41ac-5426-47ae-a216-78ef3a736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16</vt:i4>
      </vt:variant>
    </vt:vector>
  </HeadingPairs>
  <TitlesOfParts>
    <vt:vector size="28" baseType="lpstr">
      <vt:lpstr>Hoja de CIERRE</vt:lpstr>
      <vt:lpstr>Sintesis Economica</vt:lpstr>
      <vt:lpstr>Presupuesto de VENTA</vt:lpstr>
      <vt:lpstr>Presupuesto Interno</vt:lpstr>
      <vt:lpstr>1 MANO DE OBRA</vt:lpstr>
      <vt:lpstr>COSTO UNIT.MO_UOM_CAT-GRAL</vt:lpstr>
      <vt:lpstr>COSTO MO FC</vt:lpstr>
      <vt:lpstr>2 SUMINISTRO DE MATERIALES</vt:lpstr>
      <vt:lpstr>3 SUMINISTRO DE INSUMOS</vt:lpstr>
      <vt:lpstr>4 SUBCONTRATACIONES</vt:lpstr>
      <vt:lpstr>5 AMORTIZACIÓN</vt:lpstr>
      <vt:lpstr>Equipos</vt:lpstr>
      <vt:lpstr>Equipos!_Toc26271466</vt:lpstr>
      <vt:lpstr>'1 MANO DE OBRA'!Área_de_impresión</vt:lpstr>
      <vt:lpstr>'2 SUMINISTRO DE MATERIALES'!Área_de_impresión</vt:lpstr>
      <vt:lpstr>'3 SUMINISTRO DE INSUMOS'!Área_de_impresión</vt:lpstr>
      <vt:lpstr>'4 SUBCONTRATACIONES'!Área_de_impresión</vt:lpstr>
      <vt:lpstr>'5 AMORTIZACIÓN'!Área_de_impresión</vt:lpstr>
      <vt:lpstr>'COSTO MO FC'!Área_de_impresión</vt:lpstr>
      <vt:lpstr>'COSTO UNIT.MO_UOM_CAT-GRAL'!Área_de_impresión</vt:lpstr>
      <vt:lpstr>'Hoja de CIERRE'!Área_de_impresión</vt:lpstr>
      <vt:lpstr>'Presupuesto de VENTA'!Área_de_impresión</vt:lpstr>
      <vt:lpstr>'Presupuesto Interno'!Área_de_impresión</vt:lpstr>
      <vt:lpstr>'Sintesis Economica'!Área_de_impresión</vt:lpstr>
      <vt:lpstr>'COSTO UNIT.MO_UOM_CAT-GRAL'!Títulos_a_imprimir</vt:lpstr>
      <vt:lpstr>'Hoja de CIERRE'!Títulos_a_imprimir</vt:lpstr>
      <vt:lpstr>'Presupuesto de VENTA'!Títulos_a_imprimir</vt:lpstr>
      <vt:lpstr>'Presupuesto Interno'!Títulos_a_imprimir</vt:lpstr>
    </vt:vector>
  </TitlesOfParts>
  <Manager/>
  <Company>Polymont Argentina S. 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IMA S.I. Argentina S.A.</dc:creator>
  <cp:keywords/>
  <dc:description/>
  <cp:lastModifiedBy>Sebastien Martinet (IMA Argentina - Holdas Latam)</cp:lastModifiedBy>
  <cp:revision/>
  <dcterms:created xsi:type="dcterms:W3CDTF">2000-06-20T19:18:58Z</dcterms:created>
  <dcterms:modified xsi:type="dcterms:W3CDTF">2026-07-03T14:03:55Z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0x01010018ED3DDA1174714AA8A0ADD53719743E</vt:lpwstr>
  </property>
</Properties>
</file>