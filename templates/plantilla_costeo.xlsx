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42" firstSheet="2" activeTab="2" autoFilterDateGrouping="1"/>
  </bookViews>
  <sheets>
    <sheet xmlns:r="http://schemas.openxmlformats.org/officeDocument/2006/relationships" name="Hoja de CIERRE" sheetId="1" state="visible" r:id="rId1"/>
    <sheet xmlns:r="http://schemas.openxmlformats.org/officeDocument/2006/relationships" name="Sintesis Economica" sheetId="2" state="visible" r:id="rId2"/>
    <sheet xmlns:r="http://schemas.openxmlformats.org/officeDocument/2006/relationships" name="Presupuesto de VENTA" sheetId="3" state="visible" r:id="rId3"/>
    <sheet xmlns:r="http://schemas.openxmlformats.org/officeDocument/2006/relationships" name="Presupuesto Interno" sheetId="4" state="visible" r:id="rId4"/>
    <sheet xmlns:r="http://schemas.openxmlformats.org/officeDocument/2006/relationships" name="1 MANO DE OBRA" sheetId="5" state="visible" r:id="rId5"/>
    <sheet xmlns:r="http://schemas.openxmlformats.org/officeDocument/2006/relationships" name="COSTO UNIT.MO_UOM_CAT-GRAL" sheetId="6" state="visible" r:id="rId6"/>
    <sheet xmlns:r="http://schemas.openxmlformats.org/officeDocument/2006/relationships" name="COSTO MO FC" sheetId="7" state="visible" r:id="rId7"/>
    <sheet xmlns:r="http://schemas.openxmlformats.org/officeDocument/2006/relationships" name="2 SUMINISTRO DE MATERIALES" sheetId="8" state="visible" r:id="rId8"/>
    <sheet xmlns:r="http://schemas.openxmlformats.org/officeDocument/2006/relationships" name="3 SUMINISTRO DE INSUMOS" sheetId="9" state="visible" r:id="rId9"/>
    <sheet xmlns:r="http://schemas.openxmlformats.org/officeDocument/2006/relationships" name="4 SUBCONTRATACIONES" sheetId="10" state="visible" r:id="rId10"/>
    <sheet xmlns:r="http://schemas.openxmlformats.org/officeDocument/2006/relationships" name="5 AMORTIZACIÓN" sheetId="11" state="visible" r:id="rId11"/>
    <sheet xmlns:r="http://schemas.openxmlformats.org/officeDocument/2006/relationships" name="Equipos" sheetId="12" state="visible" r:id="rId12"/>
  </sheets>
  <externalReferences>
    <externalReference xmlns:r="http://schemas.openxmlformats.org/officeDocument/2006/relationships" r:id="rId13"/>
  </externalReferences>
  <definedNames>
    <definedName name="HOMOL">'[1]TABLA DE NOMBRES'!#REF!</definedName>
    <definedName name="_xlnm.Print_Titles" localSheetId="0">'Hoja de CIERRE'!$1:$9</definedName>
    <definedName name="_xlnm.Print_Area" localSheetId="0">'Hoja de CIERRE'!$B$1:$AG$73</definedName>
    <definedName name="_xlnm.Print_Area" localSheetId="1">'Sintesis Economica'!$A$1:$K$69</definedName>
    <definedName name="_xlnm.Print_Titles" localSheetId="2">'Presupuesto de VENTA'!$1:$6</definedName>
    <definedName name="_xlnm.Print_Area" localSheetId="2">'Presupuesto de VENTA'!$B$1:$J$96</definedName>
    <definedName name="_xlnm.Print_Titles" localSheetId="3">'Presupuesto Interno'!$1:$6</definedName>
    <definedName name="_xlnm.Print_Area" localSheetId="3">'Presupuesto Interno'!$A$1:$G$97</definedName>
    <definedName name="HOMOL" localSheetId="4">'[1]TABLA DE NOMBRES'!#REF!</definedName>
    <definedName name="_xlnm.Print_Area" localSheetId="4">'1 MANO DE OBRA'!$B$1:$L$69</definedName>
    <definedName name="HOMOL" localSheetId="5">'[1]TABLA DE NOMBRES'!#REF!</definedName>
    <definedName name="_xlnm.Print_Titles" localSheetId="5">'COSTO UNIT.MO_UOM_CAT-GRAL'!$A:$D</definedName>
    <definedName name="_xlnm.Print_Area" localSheetId="5">'COSTO UNIT.MO_UOM_CAT-GRAL'!$A$1:$T$110</definedName>
    <definedName name="_xlnm.Print_Area" localSheetId="6">'COSTO MO FC'!$B$2:$AJ$17</definedName>
    <definedName name="_xlnm.Print_Area" localSheetId="7">'2 SUMINISTRO DE MATERIALES'!$B$1:$G$51</definedName>
    <definedName name="_xlnm.Print_Area" localSheetId="8">'3 SUMINISTRO DE INSUMOS'!$B$1:$G$97</definedName>
    <definedName name="_xlnm.Print_Area" localSheetId="9">'4 SUBCONTRATACIONES'!$B$1:$F$111</definedName>
    <definedName name="_xlnm.Print_Area" localSheetId="10">'5 AMORTIZACIÓN'!$B$1:$K$91</definedName>
    <definedName name="_Toc26271466" localSheetId="11">Equipos!$G$35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32">
    <numFmt numFmtId="164" formatCode="_(&quot;$&quot;* #,##0.00_);_(&quot;$&quot;* \(#,##0.00\);_(&quot;$&quot;* &quot;-&quot;??_);_(@_)"/>
    <numFmt numFmtId="165" formatCode="_(&quot;$&quot;* #,##0.00_);_(&quot;$&quot;* \(#,##0.00\);_(&quot;$&quot;* &quot;-&quot;_);_(@_)"/>
    <numFmt numFmtId="166" formatCode="_ [$$-2C0A]\ * #,##0_ ;_ [$$-2C0A]\ * \-#,##0_ ;_ [$$-2C0A]\ * &quot;-&quot;_ ;_ @_ "/>
    <numFmt numFmtId="167" formatCode="#,##0.00_ ;\-#,##0.00\ "/>
    <numFmt numFmtId="168" formatCode="_ [$$-2C0A]\ * #,##0.00_ ;_ [$$-2C0A]\ * \-#,##0.00_ ;_ [$$-2C0A]\ * &quot;-&quot;_ ;_ @_ "/>
    <numFmt numFmtId="169" formatCode="_-* #,##0\ _P_t_s_-;\-* #,##0\ _P_t_s_-;_-* &quot;-&quot;??\ _P_t_s_-;_-@_-"/>
    <numFmt numFmtId="170" formatCode="[$USS]\ #,##0.00"/>
    <numFmt numFmtId="171" formatCode="_(* #,##0_);_(* \(#,##0\);_(* &quot;-&quot;??_);_(@_)"/>
    <numFmt numFmtId="172" formatCode="#,##0.000"/>
    <numFmt numFmtId="173" formatCode="0.000%"/>
    <numFmt numFmtId="174" formatCode="_-* #,##0.00_-;\-* #,##0.00_-;_-* &quot;-&quot;??_-;_-@_-"/>
    <numFmt numFmtId="175" formatCode="0.000"/>
    <numFmt numFmtId="176" formatCode="[$$-2C0A]\ #,##0.00"/>
    <numFmt numFmtId="177" formatCode="dd/mm/yyyy;@"/>
    <numFmt numFmtId="178" formatCode="_(&quot;$&quot;\ * #,##0.00_);_(&quot;$&quot;\ * \(#,##0.00\);_(&quot;$&quot;\ * &quot;-&quot;??_);_(@_)"/>
    <numFmt numFmtId="179" formatCode="#,##0_ ;\-#,##0\ "/>
    <numFmt numFmtId="180" formatCode="#,##0.0"/>
    <numFmt numFmtId="181" formatCode="0.0%"/>
    <numFmt numFmtId="182" formatCode="_ [$$-2C0A]\ * #,##0.00_ ;_ [$$-2C0A]\ * \-#,##0.00_ ;_ [$$-2C0A]\ * &quot;-&quot;??_ ;_ @_ "/>
    <numFmt numFmtId="183" formatCode="0.0"/>
    <numFmt numFmtId="184" formatCode="_-[$USD]\ * #,##0.00_-;\-[$USD]\ * #,##0.00_-;_-[$USD]\ * &quot;-&quot;??_-;_-@_-"/>
    <numFmt numFmtId="185" formatCode="_-* #,##0.00\ _€_-;\-* #,##0.00\ _€_-;_-* &quot;-&quot;??\ _€_-;_-@_-"/>
    <numFmt numFmtId="186" formatCode="_ &quot;$&quot;\ * #,##0.00_ ;_ &quot;$&quot;\ * \-#,##0.00_ ;_ &quot;$&quot;\ * &quot;-&quot;??_ ;_ @_ "/>
    <numFmt numFmtId="187" formatCode="_-&quot;$&quot;* #,##0.00_-;\-&quot;$&quot;* #,##0.00_-;_-&quot;$&quot;* &quot;-&quot;??_-;_-@_-"/>
    <numFmt numFmtId="188" formatCode="_-&quot;$&quot;* #,##0.0000_-;\-&quot;$&quot;* #,##0.0000_-;_-&quot;$&quot;* &quot;-&quot;??_-;_-@_-"/>
    <numFmt numFmtId="189" formatCode="_-&quot;$&quot;\ * #,##0.00_-;\-&quot;$&quot;\ * #,##0.00_-;_-&quot;$&quot;\ * &quot;-&quot;??_-;_-@_-"/>
    <numFmt numFmtId="190" formatCode="_-&quot;$&quot;\ * #,##0.0000_-;\-&quot;$&quot;\ * #,##0.0000_-;_-&quot;$&quot;\ * &quot;-&quot;??_-;_-@_-"/>
    <numFmt numFmtId="191" formatCode="_(&quot;$&quot;* #,##0.0000_);_(&quot;$&quot;* \(#,##0.0000\);_(&quot;$&quot;* &quot;-&quot;??_);_(@_)"/>
    <numFmt numFmtId="192" formatCode="_ &quot;$&quot;\ * #,##0.0000_ ;_ &quot;$&quot;\ * \-#,##0.0000_ ;_ &quot;$&quot;\ * &quot;-&quot;??_ ;_ @_ "/>
    <numFmt numFmtId="193" formatCode="_-[$$-2C0A]\ * #,##0.00_-;\-[$$-2C0A]\ * #,##0.00_-;_-[$$-2C0A]\ * &quot;-&quot;??_-;_-@_-"/>
    <numFmt numFmtId="194" formatCode="_-[$€-2]* #,##0.00_-;\-[$€-2]* #,##0.00_-;_-[$€-2]* &quot;-&quot;??_-"/>
    <numFmt numFmtId="195" formatCode="_ * #,##0.00_ ;_ * \-#,##0.00_ ;_ * &quot;-&quot;??_ ;_ @_ "/>
  </numFmts>
  <fonts count="99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"/>
      <family val="2"/>
      <b val="1"/>
      <sz val="10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sz val="8"/>
    </font>
    <font>
      <name val="Arial"/>
      <family val="2"/>
      <sz val="6"/>
    </font>
    <font>
      <name val="Arial"/>
      <family val="2"/>
      <b val="1"/>
      <sz val="6"/>
    </font>
    <font>
      <name val="Arial"/>
      <family val="2"/>
      <b val="1"/>
      <sz val="8"/>
    </font>
    <font>
      <name val="Arial"/>
      <family val="2"/>
      <color indexed="10"/>
      <sz val="12"/>
    </font>
    <font>
      <name val="Arial"/>
      <family val="2"/>
      <b val="1"/>
      <sz val="18"/>
    </font>
    <font>
      <name val="Arial"/>
      <family val="2"/>
      <sz val="12"/>
    </font>
    <font>
      <name val="Arial"/>
      <family val="2"/>
      <sz val="10"/>
    </font>
    <font>
      <name val="MS Sans Serif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sz val="12"/>
      <u val="singleAccounting"/>
    </font>
    <font>
      <name val="Arial"/>
      <family val="2"/>
      <b val="1"/>
      <color indexed="10"/>
      <sz val="14"/>
    </font>
    <font>
      <name val="Arial"/>
      <family val="2"/>
      <color indexed="10"/>
      <sz val="10"/>
    </font>
    <font>
      <name val="Arial"/>
      <family val="2"/>
      <color indexed="8"/>
      <sz val="12"/>
    </font>
    <font>
      <name val="Arial"/>
      <family val="2"/>
      <color indexed="8"/>
      <sz val="8"/>
    </font>
    <font>
      <name val="Arial"/>
      <family val="2"/>
      <b val="1"/>
      <color indexed="8"/>
      <sz val="10"/>
    </font>
    <font>
      <name val="Arial"/>
      <family val="2"/>
      <b val="1"/>
      <color indexed="8"/>
      <sz val="8"/>
    </font>
    <font>
      <name val="Arial"/>
      <family val="2"/>
      <b val="1"/>
      <color indexed="8"/>
      <sz val="12"/>
    </font>
    <font>
      <name val="Arial"/>
      <family val="2"/>
      <b val="1"/>
      <color indexed="10"/>
      <sz val="12"/>
      <u val="single"/>
    </font>
    <font>
      <name val="Arial"/>
      <family val="2"/>
      <b val="1"/>
      <color indexed="10"/>
      <sz val="10"/>
    </font>
    <font>
      <name val="Courier"/>
      <family val="3"/>
      <sz val="10"/>
    </font>
    <font>
      <name val="Arial"/>
      <family val="2"/>
      <sz val="12"/>
    </font>
    <font>
      <name val="Arial"/>
      <family val="2"/>
      <b val="1"/>
      <color indexed="10"/>
      <sz val="16"/>
      <u val="singleAccounting"/>
    </font>
    <font>
      <name val="Arial"/>
      <family val="2"/>
      <b val="1"/>
      <color indexed="10"/>
      <sz val="18"/>
    </font>
    <font>
      <name val="Arial"/>
      <family val="2"/>
      <b val="1"/>
      <color indexed="8"/>
      <sz val="16"/>
      <u val="single"/>
    </font>
    <font>
      <name val="Times New Roman"/>
      <family val="1"/>
      <b val="1"/>
      <sz val="10"/>
    </font>
    <font>
      <name val="Arial"/>
      <family val="2"/>
      <b val="1"/>
      <color indexed="8"/>
      <sz val="14"/>
    </font>
    <font>
      <name val="Arial"/>
      <family val="2"/>
      <b val="1"/>
      <color indexed="8"/>
      <sz val="14"/>
      <u val="singleAccounting"/>
    </font>
    <font>
      <name val="Arial"/>
      <family val="2"/>
      <b val="1"/>
      <color indexed="8"/>
      <sz val="16"/>
      <u val="singleAccounting"/>
    </font>
    <font>
      <name val="Arial"/>
      <family val="2"/>
      <b val="1"/>
      <sz val="12"/>
      <u val="single"/>
    </font>
    <font>
      <name val="Arial"/>
      <family val="2"/>
      <b val="1"/>
      <color indexed="8"/>
      <sz val="12"/>
      <u val="single"/>
    </font>
    <font>
      <name val="Arial"/>
      <family val="2"/>
      <b val="1"/>
      <sz val="14"/>
      <u val="singleAccounting"/>
    </font>
    <font>
      <name val="Arial"/>
      <family val="2"/>
      <b val="1"/>
      <sz val="20"/>
    </font>
    <font>
      <name val="Arial"/>
      <family val="2"/>
      <b val="1"/>
      <sz val="16"/>
      <u val="singleAccounting"/>
    </font>
    <font>
      <name val="Arial"/>
      <family val="2"/>
      <b val="1"/>
      <sz val="14"/>
      <u val="single"/>
    </font>
    <font>
      <name val="Arial"/>
      <family val="2"/>
      <b val="1"/>
      <sz val="26"/>
    </font>
    <font>
      <name val="Arial"/>
      <family val="2"/>
      <b val="1"/>
      <color indexed="21"/>
      <sz val="12"/>
    </font>
    <font>
      <name val="Arial"/>
      <family val="2"/>
      <b val="1"/>
      <color indexed="21"/>
      <sz val="9"/>
    </font>
    <font>
      <name val="Arial"/>
      <family val="2"/>
      <b val="1"/>
      <color indexed="21"/>
      <sz val="10"/>
    </font>
    <font>
      <name val="Arial"/>
      <family val="2"/>
      <b val="1"/>
      <color indexed="21"/>
      <sz val="20"/>
    </font>
    <font>
      <name val="Arial"/>
      <family val="2"/>
      <i val="1"/>
      <color indexed="21"/>
      <sz val="12"/>
    </font>
    <font>
      <name val="Arial Black"/>
      <family val="2"/>
      <b val="1"/>
      <color indexed="21"/>
      <sz val="12"/>
    </font>
    <font>
      <name val="Tahoma"/>
      <family val="2"/>
      <b val="1"/>
      <color indexed="81"/>
      <sz val="8"/>
    </font>
    <font>
      <name val="Arial"/>
      <family val="2"/>
      <b val="1"/>
      <sz val="18"/>
      <u val="single"/>
    </font>
    <font>
      <name val="Arial"/>
      <family val="2"/>
      <b val="1"/>
      <i val="1"/>
      <sz val="14"/>
      <u val="single"/>
    </font>
    <font>
      <name val="Arial"/>
      <family val="2"/>
      <b val="1"/>
      <i val="1"/>
      <sz val="12"/>
      <u val="single"/>
    </font>
    <font>
      <name val="Arial"/>
      <family val="2"/>
      <b val="1"/>
      <sz val="8"/>
      <u val="single"/>
    </font>
    <font>
      <name val="Arial"/>
      <family val="2"/>
      <color indexed="12"/>
      <sz val="12"/>
    </font>
    <font>
      <name val="Arial"/>
      <family val="2"/>
      <b val="1"/>
      <color indexed="12"/>
      <sz val="16"/>
      <u val="singleAccounting"/>
    </font>
    <font>
      <name val="Arial"/>
      <family val="2"/>
      <color indexed="12"/>
      <sz val="16"/>
      <u val="singleAccounting"/>
    </font>
    <font>
      <name val="Arial"/>
      <family val="2"/>
      <b val="1"/>
      <i val="1"/>
      <sz val="12"/>
    </font>
    <font>
      <name val="Arial"/>
      <family val="2"/>
      <b val="1"/>
      <color indexed="12"/>
      <sz val="16"/>
    </font>
    <font>
      <name val="Arial"/>
      <family val="2"/>
      <sz val="16"/>
    </font>
    <font>
      <name val="Arial"/>
      <family val="2"/>
      <b val="1"/>
      <sz val="26"/>
      <u val="single"/>
    </font>
    <font>
      <name val="Arial"/>
      <family val="2"/>
      <b val="1"/>
      <color indexed="12"/>
      <sz val="14"/>
    </font>
    <font>
      <name val="Arial"/>
      <family val="2"/>
      <b val="1"/>
      <color indexed="12"/>
      <sz val="14"/>
      <u val="single"/>
    </font>
    <font>
      <name val="Tahoma"/>
      <family val="2"/>
      <b val="1"/>
      <color indexed="81"/>
      <sz val="10"/>
    </font>
    <font>
      <name val="Arial"/>
      <family val="2"/>
      <i val="1"/>
      <color indexed="8"/>
      <sz val="12"/>
    </font>
    <font>
      <name val="Arial"/>
      <family val="2"/>
      <b val="1"/>
      <i val="1"/>
      <color indexed="8"/>
      <sz val="14"/>
    </font>
    <font>
      <name val="Arial"/>
      <family val="2"/>
      <color indexed="21"/>
      <sz val="10"/>
    </font>
    <font>
      <name val="Arial"/>
      <family val="2"/>
      <b val="1"/>
      <color indexed="12"/>
      <sz val="14"/>
      <u val="singleAccounting"/>
    </font>
    <font>
      <name val="Arial"/>
      <family val="2"/>
      <b val="1"/>
      <color indexed="17"/>
      <sz val="18"/>
    </font>
    <font>
      <name val="Arial"/>
      <family val="2"/>
      <color indexed="8"/>
      <sz val="14"/>
      <u val="single"/>
    </font>
    <font>
      <name val="Arial"/>
      <family val="2"/>
      <b val="1"/>
      <color indexed="10"/>
      <sz val="16"/>
    </font>
    <font>
      <name val="Arial"/>
      <family val="2"/>
      <b val="1"/>
      <color indexed="10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color indexed="18"/>
      <sz val="12"/>
    </font>
    <font>
      <name val="Arial"/>
      <family val="2"/>
      <b val="1"/>
      <sz val="10"/>
      <u val="singleAccounting"/>
    </font>
    <font>
      <name val="Arial"/>
      <family val="2"/>
      <color indexed="12"/>
      <sz val="14"/>
    </font>
    <font>
      <name val="Arial"/>
      <family val="2"/>
      <color indexed="8"/>
      <sz val="14"/>
    </font>
    <font>
      <name val="Arial"/>
      <family val="2"/>
      <b val="1"/>
      <color indexed="8"/>
      <sz val="12"/>
      <u val="singleAccounting"/>
    </font>
    <font>
      <name val="Arial"/>
      <family val="2"/>
      <b val="1"/>
      <color indexed="17"/>
      <sz val="18"/>
      <u val="singleAccounting"/>
    </font>
    <font>
      <name val="Arial"/>
      <family val="2"/>
      <sz val="10"/>
    </font>
    <font>
      <name val="Arial"/>
      <family val="2"/>
      <sz val="10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indexed="17"/>
      <sz val="7"/>
    </font>
    <font>
      <name val="Arial"/>
      <family val="2"/>
      <sz val="11"/>
    </font>
    <font>
      <name val="Arial"/>
      <family val="2"/>
      <color indexed="10"/>
      <sz val="11"/>
    </font>
    <font>
      <name val="Times New Roman"/>
      <family val="1"/>
      <sz val="10"/>
    </font>
    <font>
      <name val="Arial"/>
      <family val="2"/>
      <b val="1"/>
      <color indexed="58"/>
      <sz val="12"/>
    </font>
    <font>
      <name val="Times New Roman"/>
      <family val="1"/>
      <b val="1"/>
      <color indexed="58"/>
      <sz val="7"/>
    </font>
    <font>
      <name val="Courier New"/>
      <family val="3"/>
      <sz val="11"/>
    </font>
    <font>
      <name val="Times New Roman"/>
      <family val="1"/>
      <sz val="7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Arial"/>
      <family val="2"/>
      <b val="1"/>
      <color rgb="FFFF0000"/>
      <sz val="12"/>
    </font>
    <font>
      <name val="Arial"/>
      <family val="2"/>
      <color theme="0"/>
      <sz val="10"/>
    </font>
    <font>
      <name val="Symbol"/>
      <charset val="2"/>
      <family val="1"/>
      <color rgb="FF008000"/>
      <sz val="10"/>
    </font>
    <font>
      <name val="Arial"/>
      <family val="2"/>
      <b val="1"/>
      <color rgb="FF003300"/>
      <sz val="12"/>
    </font>
    <font>
      <name val="Calibri"/>
      <family val="2"/>
      <color rgb="FF1F497D"/>
      <sz val="11"/>
    </font>
  </fonts>
  <fills count="23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gray0625">
        <fgColor indexed="13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13"/>
      </patternFill>
    </fill>
    <fill>
      <patternFill patternType="gray0625">
        <fgColor indexed="13"/>
        <bgColor indexed="13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gray0625">
        <fgColor indexed="13"/>
        <bgColor indexed="11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186" fontId="82" fillId="0" borderId="0"/>
    <xf numFmtId="194" fontId="82" fillId="0" borderId="0"/>
    <xf numFmtId="43" fontId="82" fillId="0" borderId="0"/>
    <xf numFmtId="195" fontId="82" fillId="0" borderId="0"/>
    <xf numFmtId="43" fontId="92" fillId="0" borderId="0"/>
    <xf numFmtId="164" fontId="82" fillId="0" borderId="0"/>
    <xf numFmtId="42" fontId="82" fillId="0" borderId="0"/>
    <xf numFmtId="186" fontId="82" fillId="0" borderId="0"/>
    <xf numFmtId="186" fontId="82" fillId="0" borderId="0"/>
    <xf numFmtId="186" fontId="82" fillId="0" borderId="0"/>
    <xf numFmtId="164" fontId="82" fillId="0" borderId="0"/>
    <xf numFmtId="178" fontId="82" fillId="0" borderId="0"/>
    <xf numFmtId="0" fontId="28" fillId="0" borderId="0"/>
    <xf numFmtId="0" fontId="92" fillId="0" borderId="0"/>
    <xf numFmtId="0" fontId="93" fillId="0" borderId="0"/>
    <xf numFmtId="0" fontId="29" fillId="0" borderId="0"/>
    <xf numFmtId="0" fontId="29" fillId="0" borderId="0"/>
    <xf numFmtId="9" fontId="82" fillId="0" borderId="0"/>
    <xf numFmtId="9" fontId="82" fillId="0" borderId="0"/>
    <xf numFmtId="0" fontId="16" fillId="0" borderId="0" applyAlignment="1">
      <alignment horizontal="left"/>
    </xf>
    <xf numFmtId="3" fontId="16" fillId="0" borderId="0"/>
  </cellStyleXfs>
  <cellXfs count="1133">
    <xf numFmtId="0" fontId="0" fillId="0" borderId="0" pivotButton="0" quotePrefix="0" xfId="0"/>
    <xf numFmtId="0" fontId="0" fillId="0" borderId="1" pivotButton="0" quotePrefix="0" xfId="0"/>
    <xf numFmtId="0" fontId="0" fillId="2" borderId="2" pivotButton="0" quotePrefix="0" xfId="0"/>
    <xf numFmtId="0" fontId="0" fillId="2" borderId="0" applyAlignment="1" pivotButton="0" quotePrefix="0" xfId="0">
      <alignment horizontal="right"/>
    </xf>
    <xf numFmtId="0" fontId="0" fillId="2" borderId="0" pivotButton="0" quotePrefix="0" xfId="0"/>
    <xf numFmtId="0" fontId="8" fillId="2" borderId="3" applyAlignment="1" pivotButton="0" quotePrefix="0" xfId="0">
      <alignment horizontal="right" vertical="center"/>
    </xf>
    <xf numFmtId="0" fontId="0" fillId="2" borderId="4" pivotButton="0" quotePrefix="0" xfId="0"/>
    <xf numFmtId="0" fontId="9" fillId="2" borderId="3" applyAlignment="1" pivotButton="0" quotePrefix="0" xfId="0">
      <alignment horizontal="right" vertical="center"/>
    </xf>
    <xf numFmtId="0" fontId="9" fillId="2" borderId="0" pivotButton="0" quotePrefix="0" xfId="0"/>
    <xf numFmtId="0" fontId="10" fillId="2" borderId="3" applyAlignment="1" pivotButton="0" quotePrefix="0" xfId="0">
      <alignment horizontal="left"/>
    </xf>
    <xf numFmtId="0" fontId="7" fillId="2" borderId="0" pivotButton="0" quotePrefix="0" xfId="0"/>
    <xf numFmtId="0" fontId="10" fillId="2" borderId="3" pivotButton="0" quotePrefix="0" xfId="0"/>
    <xf numFmtId="0" fontId="11" fillId="2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vertical="center"/>
    </xf>
    <xf numFmtId="0" fontId="0" fillId="2" borderId="5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14" fillId="2" borderId="0" applyAlignment="1" pivotButton="0" quotePrefix="0" xfId="0">
      <alignment horizontal="left" vertical="top"/>
    </xf>
    <xf numFmtId="0" fontId="0" fillId="2" borderId="8" pivotButton="0" quotePrefix="0" xfId="0"/>
    <xf numFmtId="0" fontId="0" fillId="2" borderId="9" applyAlignment="1" pivotButton="0" quotePrefix="0" xfId="0">
      <alignment horizontal="center"/>
    </xf>
    <xf numFmtId="0" fontId="14" fillId="2" borderId="10" applyAlignment="1" pivotButton="0" quotePrefix="0" xfId="0">
      <alignment horizontal="left" vertical="top"/>
    </xf>
    <xf numFmtId="0" fontId="0" fillId="2" borderId="10" pivotButton="0" quotePrefix="0" xfId="0"/>
    <xf numFmtId="0" fontId="0" fillId="2" borderId="11" pivotButton="0" quotePrefix="0" xfId="0"/>
    <xf numFmtId="0" fontId="0" fillId="2" borderId="0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/>
    </xf>
    <xf numFmtId="0" fontId="2" fillId="2" borderId="0" pivotButton="0" quotePrefix="0" xfId="0"/>
    <xf numFmtId="0" fontId="0" fillId="2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2" borderId="12" pivotButton="0" quotePrefix="0" xfId="0"/>
    <xf numFmtId="0" fontId="0" fillId="2" borderId="13" pivotButton="0" quotePrefix="0" xfId="0"/>
    <xf numFmtId="0" fontId="13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left" vertical="center" wrapText="1"/>
    </xf>
    <xf numFmtId="0" fontId="0" fillId="2" borderId="5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0" fillId="3" borderId="13" pivotButton="0" quotePrefix="0" xfId="0"/>
    <xf numFmtId="0" fontId="0" fillId="3" borderId="11" pivotButton="0" quotePrefix="0" xfId="0"/>
    <xf numFmtId="0" fontId="0" fillId="2" borderId="17" applyAlignment="1" pivotButton="0" quotePrefix="0" xfId="0">
      <alignment horizontal="center" vertical="center"/>
    </xf>
    <xf numFmtId="0" fontId="0" fillId="2" borderId="0" applyAlignment="1" pivotButton="0" quotePrefix="0" xfId="0">
      <alignment wrapText="1"/>
    </xf>
    <xf numFmtId="42" fontId="2" fillId="0" borderId="18" pivotButton="0" quotePrefix="0" xfId="7"/>
    <xf numFmtId="164" fontId="4" fillId="0" borderId="0" pivotButton="0" quotePrefix="0" xfId="6"/>
    <xf numFmtId="10" fontId="4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6" fontId="4" fillId="2" borderId="1" pivotButton="0" quotePrefix="0" xfId="0"/>
    <xf numFmtId="10" fontId="17" fillId="0" borderId="4" applyAlignment="1" pivotButton="0" quotePrefix="0" xfId="18">
      <alignment horizontal="center"/>
    </xf>
    <xf numFmtId="165" fontId="18" fillId="4" borderId="18" applyAlignment="1" pivotButton="0" quotePrefix="0" xfId="7">
      <alignment horizontal="center"/>
    </xf>
    <xf numFmtId="164" fontId="1" fillId="0" borderId="0" pivotButton="0" quotePrefix="0" xfId="6"/>
    <xf numFmtId="165" fontId="4" fillId="4" borderId="19" applyAlignment="1" pivotButton="0" quotePrefix="0" xfId="7">
      <alignment horizontal="center"/>
    </xf>
    <xf numFmtId="165" fontId="2" fillId="0" borderId="0" applyAlignment="1" pivotButton="0" quotePrefix="0" xfId="7">
      <alignment horizontal="center"/>
    </xf>
    <xf numFmtId="10" fontId="4" fillId="0" borderId="4" applyAlignment="1" pivotButton="0" quotePrefix="0" xfId="18">
      <alignment horizontal="center"/>
    </xf>
    <xf numFmtId="164" fontId="3" fillId="2" borderId="3" applyAlignment="1" pivotButton="0" quotePrefix="0" xfId="6">
      <alignment horizontal="left"/>
    </xf>
    <xf numFmtId="165" fontId="4" fillId="4" borderId="18" applyAlignment="1" pivotButton="0" quotePrefix="0" xfId="7">
      <alignment horizontal="center"/>
    </xf>
    <xf numFmtId="165" fontId="4" fillId="0" borderId="0" applyAlignment="1" pivotButton="0" quotePrefix="0" xfId="7">
      <alignment horizontal="center"/>
    </xf>
    <xf numFmtId="165" fontId="0" fillId="2" borderId="0" pivotButton="0" quotePrefix="0" xfId="0"/>
    <xf numFmtId="0" fontId="2" fillId="0" borderId="0" applyAlignment="1" pivotButton="0" quotePrefix="0" xfId="0">
      <alignment horizontal="center"/>
    </xf>
    <xf numFmtId="14" fontId="0" fillId="2" borderId="0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4" fillId="2" borderId="20" applyAlignment="1" pivotButton="0" quotePrefix="0" xfId="0">
      <alignment horizontal="center" vertical="center" wrapText="1"/>
    </xf>
    <xf numFmtId="0" fontId="4" fillId="2" borderId="21" applyAlignment="1" pivotButton="0" quotePrefix="0" xfId="0">
      <alignment horizontal="center" vertical="center" wrapText="1"/>
    </xf>
    <xf numFmtId="0" fontId="4" fillId="0" borderId="0" pivotButton="0" quotePrefix="0" xfId="0"/>
    <xf numFmtId="10" fontId="20" fillId="0" borderId="0" applyAlignment="1" pivotButton="0" quotePrefix="0" xfId="18">
      <alignment horizontal="center"/>
    </xf>
    <xf numFmtId="166" fontId="0" fillId="0" borderId="22" pivotButton="0" quotePrefix="0" xfId="0"/>
    <xf numFmtId="0" fontId="4" fillId="2" borderId="0" applyAlignment="1" pivotButton="0" quotePrefix="0" xfId="0">
      <alignment horizontal="center"/>
    </xf>
    <xf numFmtId="10" fontId="17" fillId="0" borderId="4" applyAlignment="1" applyProtection="1" pivotButton="0" quotePrefix="0" xfId="18">
      <alignment horizontal="center"/>
      <protection locked="0" hidden="0"/>
    </xf>
    <xf numFmtId="166" fontId="0" fillId="0" borderId="0" pivotButton="0" quotePrefix="0" xfId="0"/>
    <xf numFmtId="0" fontId="0" fillId="5" borderId="13" pivotButton="0" quotePrefix="0" xfId="0"/>
    <xf numFmtId="3" fontId="23" fillId="0" borderId="0" pivotButton="0" quotePrefix="0" xfId="0"/>
    <xf numFmtId="3" fontId="22" fillId="0" borderId="0" pivotButton="0" quotePrefix="0" xfId="0"/>
    <xf numFmtId="3" fontId="24" fillId="0" borderId="0" pivotButton="0" quotePrefix="0" xfId="0"/>
    <xf numFmtId="3" fontId="0" fillId="0" borderId="0" pivotButton="0" quotePrefix="0" xfId="0"/>
    <xf numFmtId="10" fontId="0" fillId="0" borderId="0" pivotButton="0" quotePrefix="0" xfId="18"/>
    <xf numFmtId="0" fontId="5" fillId="0" borderId="0" applyAlignment="1" pivotButton="0" quotePrefix="0" xfId="0">
      <alignment horizontal="center" vertical="center"/>
    </xf>
    <xf numFmtId="0" fontId="0" fillId="0" borderId="23" pivotButton="0" quotePrefix="0" xfId="0"/>
    <xf numFmtId="0" fontId="2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 wrapText="1"/>
    </xf>
    <xf numFmtId="166" fontId="2" fillId="6" borderId="18" applyAlignment="1" pivotButton="0" quotePrefix="0" xfId="0">
      <alignment horizontal="center" vertical="center" wrapText="1"/>
    </xf>
    <xf numFmtId="167" fontId="2" fillId="6" borderId="18" applyAlignment="1" pivotButton="0" quotePrefix="0" xfId="0">
      <alignment horizontal="center" vertical="center" wrapText="1"/>
    </xf>
    <xf numFmtId="166" fontId="2" fillId="3" borderId="18" applyAlignment="1" pivotButton="0" quotePrefix="0" xfId="0">
      <alignment horizontal="center" vertical="center" wrapText="1"/>
    </xf>
    <xf numFmtId="0" fontId="2" fillId="3" borderId="18" applyAlignment="1" pivotButton="0" quotePrefix="0" xfId="0">
      <alignment horizontal="center" vertical="center" wrapText="1"/>
    </xf>
    <xf numFmtId="166" fontId="2" fillId="4" borderId="18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3" fillId="7" borderId="1" applyAlignment="1" pivotButton="0" quotePrefix="0" xfId="0">
      <alignment horizontal="centerContinuous"/>
    </xf>
    <xf numFmtId="0" fontId="3" fillId="0" borderId="0" applyAlignment="1" pivotButton="0" quotePrefix="0" xfId="0">
      <alignment horizontal="centerContinuous"/>
    </xf>
    <xf numFmtId="2" fontId="19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6"/>
    <xf numFmtId="164" fontId="0" fillId="0" borderId="0" pivotButton="0" quotePrefix="0" xfId="6"/>
    <xf numFmtId="0" fontId="0" fillId="2" borderId="24" pivotButton="0" quotePrefix="0" xfId="0"/>
    <xf numFmtId="0" fontId="0" fillId="0" borderId="24" pivotButton="0" quotePrefix="0" xfId="0"/>
    <xf numFmtId="0" fontId="0" fillId="0" borderId="13" pivotButton="0" quotePrefix="0" xfId="0"/>
    <xf numFmtId="164" fontId="27" fillId="9" borderId="1" pivotButton="0" quotePrefix="0" xfId="0"/>
    <xf numFmtId="0" fontId="27" fillId="9" borderId="22" applyAlignment="1" pivotButton="0" quotePrefix="0" xfId="0">
      <alignment horizontal="centerContinuous"/>
    </xf>
    <xf numFmtId="164" fontId="27" fillId="9" borderId="1" pivotButton="0" quotePrefix="0" xfId="6"/>
    <xf numFmtId="0" fontId="27" fillId="7" borderId="1" applyAlignment="1" pivotButton="0" quotePrefix="0" xfId="0">
      <alignment horizontal="centerContinuous"/>
    </xf>
    <xf numFmtId="164" fontId="27" fillId="7" borderId="1" applyAlignment="1" pivotButton="0" quotePrefix="0" xfId="6">
      <alignment horizontal="center"/>
    </xf>
    <xf numFmtId="164" fontId="27" fillId="7" borderId="1" pivotButton="0" quotePrefix="0" xfId="6"/>
    <xf numFmtId="0" fontId="1" fillId="2" borderId="17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right"/>
    </xf>
    <xf numFmtId="14" fontId="0" fillId="0" borderId="11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7" fillId="9" borderId="4" applyAlignment="1" pivotButton="0" quotePrefix="0" xfId="0">
      <alignment horizontal="left"/>
    </xf>
    <xf numFmtId="0" fontId="0" fillId="0" borderId="27" applyAlignment="1" pivotButton="0" quotePrefix="0" xfId="0">
      <alignment horizontal="center" vertical="center" wrapText="1"/>
    </xf>
    <xf numFmtId="2" fontId="27" fillId="9" borderId="18" applyAlignment="1" pivotButton="0" quotePrefix="0" xfId="0">
      <alignment horizontal="center"/>
    </xf>
    <xf numFmtId="0" fontId="3" fillId="9" borderId="4" applyAlignment="1" pivotButton="0" quotePrefix="0" xfId="0">
      <alignment horizontal="left"/>
    </xf>
    <xf numFmtId="164" fontId="0" fillId="2" borderId="0" applyAlignment="1" pivotButton="0" quotePrefix="0" xfId="6">
      <alignment vertical="center"/>
    </xf>
    <xf numFmtId="164" fontId="27" fillId="0" borderId="0" pivotButton="0" quotePrefix="0" xfId="6"/>
    <xf numFmtId="166" fontId="5" fillId="5" borderId="28" applyAlignment="1" pivotButton="0" quotePrefix="0" xfId="0">
      <alignment horizontal="center"/>
    </xf>
    <xf numFmtId="168" fontId="5" fillId="5" borderId="28" applyAlignment="1" pivotButton="0" quotePrefix="0" xfId="0">
      <alignment horizontal="center"/>
    </xf>
    <xf numFmtId="166" fontId="4" fillId="0" borderId="1" pivotButton="0" quotePrefix="0" xfId="0"/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2" fontId="0" fillId="6" borderId="1" pivotButton="0" quotePrefix="0" xfId="0"/>
    <xf numFmtId="166" fontId="5" fillId="5" borderId="18" applyAlignment="1" pivotButton="0" quotePrefix="0" xfId="0">
      <alignment horizontal="center"/>
    </xf>
    <xf numFmtId="3" fontId="22" fillId="0" borderId="12" pivotButton="0" quotePrefix="0" xfId="0"/>
    <xf numFmtId="3" fontId="22" fillId="0" borderId="24" pivotButton="0" quotePrefix="0" xfId="0"/>
    <xf numFmtId="3" fontId="22" fillId="0" borderId="13" pivotButton="0" quotePrefix="0" xfId="0"/>
    <xf numFmtId="3" fontId="22" fillId="0" borderId="2" pivotButton="0" quotePrefix="0" xfId="0"/>
    <xf numFmtId="3" fontId="22" fillId="0" borderId="9" pivotButton="0" quotePrefix="0" xfId="0"/>
    <xf numFmtId="3" fontId="21" fillId="0" borderId="10" pivotButton="0" quotePrefix="0" xfId="0"/>
    <xf numFmtId="10" fontId="21" fillId="0" borderId="10" pivotButton="0" quotePrefix="0" xfId="0"/>
    <xf numFmtId="164" fontId="25" fillId="0" borderId="10" pivotButton="0" quotePrefix="0" xfId="6"/>
    <xf numFmtId="3" fontId="22" fillId="0" borderId="11" pivotButton="0" quotePrefix="0" xfId="0"/>
    <xf numFmtId="0" fontId="0" fillId="0" borderId="0" applyAlignment="1" pivotButton="0" quotePrefix="0" xfId="0">
      <alignment vertical="center" wrapText="1"/>
    </xf>
    <xf numFmtId="3" fontId="22" fillId="0" borderId="2" applyAlignment="1" pivotButton="0" quotePrefix="0" xfId="0">
      <alignment vertical="center" wrapText="1"/>
    </xf>
    <xf numFmtId="3" fontId="22" fillId="0" borderId="8" applyAlignment="1" pivotButton="0" quotePrefix="0" xfId="0">
      <alignment vertical="center" wrapText="1"/>
    </xf>
    <xf numFmtId="0" fontId="0" fillId="0" borderId="23" applyAlignment="1" pivotButton="0" quotePrefix="0" xfId="0">
      <alignment vertical="center" wrapText="1"/>
    </xf>
    <xf numFmtId="0" fontId="0" fillId="2" borderId="23" applyAlignment="1" pivotButton="0" quotePrefix="0" xfId="0">
      <alignment vertical="center" wrapText="1"/>
    </xf>
    <xf numFmtId="0" fontId="8" fillId="0" borderId="29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 wrapText="1"/>
    </xf>
    <xf numFmtId="0" fontId="8" fillId="0" borderId="30" applyAlignment="1" pivotButton="0" quotePrefix="0" xfId="0">
      <alignment horizontal="right" vertical="center" wrapText="1"/>
    </xf>
    <xf numFmtId="14" fontId="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3" fontId="22" fillId="0" borderId="2" applyAlignment="1" pivotButton="0" quotePrefix="0" xfId="0">
      <alignment vertical="center"/>
    </xf>
    <xf numFmtId="3" fontId="22" fillId="0" borderId="0" applyAlignment="1" pivotButton="0" quotePrefix="0" xfId="0">
      <alignment vertical="center"/>
    </xf>
    <xf numFmtId="169" fontId="0" fillId="0" borderId="23" applyAlignment="1" pivotButton="0" quotePrefix="0" xfId="3">
      <alignment horizontal="center" vertical="center"/>
    </xf>
    <xf numFmtId="170" fontId="0" fillId="0" borderId="0" applyAlignment="1" pivotButton="0" quotePrefix="0" xfId="0">
      <alignment vertical="center"/>
    </xf>
    <xf numFmtId="171" fontId="0" fillId="0" borderId="0" applyAlignment="1" pivotButton="0" quotePrefix="0" xfId="3">
      <alignment horizontal="center" vertical="center"/>
    </xf>
    <xf numFmtId="169" fontId="0" fillId="0" borderId="0" applyAlignment="1" pivotButton="0" quotePrefix="0" xfId="0">
      <alignment horizontal="center" vertical="center"/>
    </xf>
    <xf numFmtId="3" fontId="22" fillId="0" borderId="0" applyAlignment="1" pivotButton="0" quotePrefix="0" xfId="0">
      <alignment horizontal="left" vertical="center"/>
    </xf>
    <xf numFmtId="43" fontId="21" fillId="0" borderId="0" applyAlignment="1" pivotButton="0" quotePrefix="0" xfId="3">
      <alignment vertical="center"/>
    </xf>
    <xf numFmtId="10" fontId="22" fillId="0" borderId="8" applyAlignment="1" pivotButton="0" quotePrefix="0" xfId="0">
      <alignment vertical="center"/>
    </xf>
    <xf numFmtId="172" fontId="0" fillId="0" borderId="2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0" fontId="21" fillId="0" borderId="8" applyAlignment="1" pivotButton="0" quotePrefix="0" xfId="0">
      <alignment vertical="center"/>
    </xf>
    <xf numFmtId="3" fontId="21" fillId="0" borderId="0" applyAlignment="1" pivotButton="0" quotePrefix="0" xfId="0">
      <alignment vertical="center"/>
    </xf>
    <xf numFmtId="4" fontId="0" fillId="0" borderId="23" applyAlignment="1" pivotButton="0" quotePrefix="0" xfId="0">
      <alignment horizontal="center" vertical="center"/>
    </xf>
    <xf numFmtId="3" fontId="0" fillId="0" borderId="0" applyAlignment="1" pivotButton="0" quotePrefix="0" xfId="0">
      <alignment vertical="center"/>
    </xf>
    <xf numFmtId="3" fontId="22" fillId="0" borderId="8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3" fontId="23" fillId="0" borderId="0" applyAlignment="1" pivotButton="0" quotePrefix="0" xfId="0">
      <alignment vertical="center"/>
    </xf>
    <xf numFmtId="173" fontId="22" fillId="0" borderId="0" applyAlignment="1" pivotButton="0" quotePrefix="0" xfId="0">
      <alignment vertical="center"/>
    </xf>
    <xf numFmtId="164" fontId="22" fillId="0" borderId="0" applyAlignment="1" pivotButton="0" quotePrefix="0" xfId="6">
      <alignment vertical="center"/>
    </xf>
    <xf numFmtId="10" fontId="21" fillId="0" borderId="0" applyAlignment="1" pivotButton="0" quotePrefix="0" xfId="0">
      <alignment vertical="center"/>
    </xf>
    <xf numFmtId="2" fontId="27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3" fontId="0" fillId="0" borderId="31" pivotButton="0" quotePrefix="0" xfId="0"/>
    <xf numFmtId="0" fontId="0" fillId="0" borderId="31" pivotButton="0" quotePrefix="0" xfId="0"/>
    <xf numFmtId="43" fontId="4" fillId="0" borderId="0" pivotButton="0" quotePrefix="0" xfId="3"/>
    <xf numFmtId="0" fontId="8" fillId="6" borderId="32" applyAlignment="1" pivotButton="0" quotePrefix="0" xfId="0">
      <alignment horizontal="center" vertical="center" wrapText="1"/>
    </xf>
    <xf numFmtId="0" fontId="8" fillId="6" borderId="33" applyAlignment="1" pivotButton="0" quotePrefix="0" xfId="0">
      <alignment horizontal="center" vertical="center" wrapText="1"/>
    </xf>
    <xf numFmtId="14" fontId="8" fillId="6" borderId="34" applyAlignment="1" pivotButton="0" quotePrefix="0" xfId="0">
      <alignment horizontal="center" vertical="center" wrapText="1"/>
    </xf>
    <xf numFmtId="1" fontId="8" fillId="8" borderId="35" applyAlignment="1" pivotButton="0" quotePrefix="0" xfId="0">
      <alignment horizontal="center" vertical="center" wrapText="1"/>
    </xf>
    <xf numFmtId="164" fontId="0" fillId="10" borderId="1" pivotButton="0" quotePrefix="0" xfId="0"/>
    <xf numFmtId="166" fontId="12" fillId="10" borderId="1" applyAlignment="1" pivotButton="0" quotePrefix="0" xfId="0">
      <alignment horizontal="center" vertical="center"/>
    </xf>
    <xf numFmtId="166" fontId="12" fillId="10" borderId="16" applyAlignment="1" pivotButton="0" quotePrefix="0" xfId="0">
      <alignment horizontal="center" vertical="center"/>
    </xf>
    <xf numFmtId="166" fontId="12" fillId="10" borderId="21" applyAlignment="1" pivotButton="0" quotePrefix="0" xfId="0">
      <alignment horizontal="center" vertical="center"/>
    </xf>
    <xf numFmtId="168" fontId="12" fillId="10" borderId="16" applyAlignment="1" pivotButton="0" quotePrefix="0" xfId="0">
      <alignment horizontal="center" vertical="center"/>
    </xf>
    <xf numFmtId="0" fontId="33" fillId="2" borderId="0" pivotButton="0" quotePrefix="0" xfId="0"/>
    <xf numFmtId="3" fontId="25" fillId="0" borderId="0" applyAlignment="1" pivotButton="0" quotePrefix="0" xfId="0">
      <alignment vertical="center"/>
    </xf>
    <xf numFmtId="164" fontId="25" fillId="11" borderId="1" applyAlignment="1" pivotButton="0" quotePrefix="0" xfId="6">
      <alignment vertical="center"/>
    </xf>
    <xf numFmtId="164" fontId="21" fillId="0" borderId="0" applyAlignment="1" pivotButton="0" quotePrefix="0" xfId="6">
      <alignment vertical="center"/>
    </xf>
    <xf numFmtId="164" fontId="35" fillId="11" borderId="1" applyAlignment="1" pivotButton="0" quotePrefix="0" xfId="6">
      <alignment vertical="center"/>
    </xf>
    <xf numFmtId="174" fontId="0" fillId="0" borderId="0" applyAlignment="1" pivotButton="0" quotePrefix="0" xfId="0">
      <alignment horizontal="center"/>
    </xf>
    <xf numFmtId="174" fontId="0" fillId="0" borderId="31" applyAlignment="1" pivotButton="0" quotePrefix="0" xfId="0">
      <alignment horizontal="left"/>
    </xf>
    <xf numFmtId="174" fontId="0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 wrapText="1"/>
    </xf>
    <xf numFmtId="166" fontId="0" fillId="10" borderId="1" pivotButton="0" quotePrefix="0" xfId="0"/>
    <xf numFmtId="164" fontId="0" fillId="2" borderId="0" applyAlignment="1" pivotButton="0" quotePrefix="0" xfId="6">
      <alignment horizontal="center" vertical="center"/>
    </xf>
    <xf numFmtId="0" fontId="0" fillId="2" borderId="36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4" fillId="2" borderId="39" applyAlignment="1" pivotButton="0" quotePrefix="0" xfId="0">
      <alignment horizontal="center" vertical="center" wrapText="1"/>
    </xf>
    <xf numFmtId="0" fontId="4" fillId="2" borderId="40" applyAlignment="1" pivotButton="0" quotePrefix="0" xfId="0">
      <alignment horizontal="center" vertical="center" wrapText="1"/>
    </xf>
    <xf numFmtId="0" fontId="4" fillId="2" borderId="41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center"/>
    </xf>
    <xf numFmtId="166" fontId="0" fillId="12" borderId="1" pivotButton="0" quotePrefix="0" xfId="0"/>
    <xf numFmtId="168" fontId="4" fillId="2" borderId="1" pivotButton="0" quotePrefix="0" xfId="0"/>
    <xf numFmtId="10" fontId="42" fillId="0" borderId="0" applyAlignment="1" pivotButton="0" quotePrefix="0" xfId="0">
      <alignment horizontal="center" vertical="center" wrapText="1"/>
    </xf>
    <xf numFmtId="4" fontId="22" fillId="0" borderId="0" applyAlignment="1" pivotButton="0" quotePrefix="1" xfId="0">
      <alignment horizontal="center" vertical="center"/>
    </xf>
    <xf numFmtId="175" fontId="2" fillId="0" borderId="0" applyAlignment="1" pivotButton="0" quotePrefix="0" xfId="0">
      <alignment vertical="center" wrapText="1"/>
    </xf>
    <xf numFmtId="3" fontId="34" fillId="0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/>
    </xf>
    <xf numFmtId="0" fontId="0" fillId="0" borderId="8" pivotButton="0" quotePrefix="0" xfId="0"/>
    <xf numFmtId="0" fontId="0" fillId="2" borderId="37" pivotButton="0" quotePrefix="0" xfId="0"/>
    <xf numFmtId="0" fontId="6" fillId="2" borderId="8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166" fontId="0" fillId="13" borderId="1" pivotButton="0" quotePrefix="0" xfId="0"/>
    <xf numFmtId="10" fontId="1" fillId="14" borderId="1" applyAlignment="1" pivotButton="0" quotePrefix="0" xfId="18">
      <alignment horizontal="center"/>
    </xf>
    <xf numFmtId="1" fontId="0" fillId="13" borderId="1" pivotButton="0" quotePrefix="0" xfId="0"/>
    <xf numFmtId="164" fontId="0" fillId="13" borderId="1" pivotButton="0" quotePrefix="0" xfId="6"/>
    <xf numFmtId="1" fontId="0" fillId="13" borderId="20" pivotButton="0" quotePrefix="0" xfId="0"/>
    <xf numFmtId="2" fontId="0" fillId="13" borderId="1" pivotButton="0" quotePrefix="0" xfId="0"/>
    <xf numFmtId="0" fontId="0" fillId="13" borderId="1" applyAlignment="1" pivotButton="0" quotePrefix="0" xfId="0">
      <alignment horizontal="center"/>
    </xf>
    <xf numFmtId="0" fontId="0" fillId="13" borderId="1" pivotButton="0" quotePrefix="0" xfId="0"/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/>
    </xf>
    <xf numFmtId="168" fontId="0" fillId="13" borderId="1" applyAlignment="1" pivotButton="0" quotePrefix="0" xfId="0">
      <alignment horizontal="center" vertical="center"/>
    </xf>
    <xf numFmtId="168" fontId="0" fillId="13" borderId="1" applyAlignment="1" pivotButton="0" quotePrefix="0" xfId="0">
      <alignment vertical="center"/>
    </xf>
    <xf numFmtId="166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0" fillId="13" borderId="4" applyAlignment="1" pivotButton="0" quotePrefix="0" xfId="0">
      <alignment horizontal="left"/>
    </xf>
    <xf numFmtId="0" fontId="14" fillId="13" borderId="1" applyAlignment="1" pivotButton="0" quotePrefix="0" xfId="0">
      <alignment vertical="center" wrapText="1"/>
    </xf>
    <xf numFmtId="0" fontId="14" fillId="13" borderId="1" applyAlignment="1" pivotButton="0" quotePrefix="0" xfId="0">
      <alignment vertical="center"/>
    </xf>
    <xf numFmtId="0" fontId="14" fillId="13" borderId="1" applyAlignment="1" pivotButton="0" quotePrefix="0" xfId="0">
      <alignment vertical="justify"/>
    </xf>
    <xf numFmtId="166" fontId="0" fillId="13" borderId="20" applyAlignment="1" pivotButton="0" quotePrefix="0" xfId="0">
      <alignment horizontal="center" vertical="center"/>
    </xf>
    <xf numFmtId="0" fontId="0" fillId="13" borderId="20" applyAlignment="1" pivotButton="0" quotePrefix="0" xfId="0">
      <alignment horizontal="center" vertical="center"/>
    </xf>
    <xf numFmtId="0" fontId="0" fillId="13" borderId="20" applyAlignment="1" pivotButton="0" quotePrefix="0" xfId="0">
      <alignment vertical="center"/>
    </xf>
    <xf numFmtId="168" fontId="0" fillId="13" borderId="20" applyAlignment="1" pivotButton="0" quotePrefix="0" xfId="0">
      <alignment vertical="center"/>
    </xf>
    <xf numFmtId="0" fontId="0" fillId="13" borderId="20" applyAlignment="1" pivotButton="0" quotePrefix="0" xfId="0">
      <alignment vertical="center" wrapText="1"/>
    </xf>
    <xf numFmtId="166" fontId="0" fillId="13" borderId="1" applyAlignment="1" pivotButton="0" quotePrefix="0" xfId="0">
      <alignment vertical="center"/>
    </xf>
    <xf numFmtId="168" fontId="0" fillId="13" borderId="20" applyAlignment="1" pivotButton="0" quotePrefix="0" xfId="0">
      <alignment horizontal="center" vertical="center"/>
    </xf>
    <xf numFmtId="0" fontId="14" fillId="13" borderId="2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44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0" fillId="0" borderId="42" pivotButton="0" quotePrefix="0" xfId="0"/>
    <xf numFmtId="0" fontId="45" fillId="0" borderId="0" pivotButton="0" quotePrefix="0" xfId="0"/>
    <xf numFmtId="0" fontId="17" fillId="0" borderId="0" pivotButton="0" quotePrefix="0" xfId="0"/>
    <xf numFmtId="0" fontId="0" fillId="9" borderId="1" applyAlignment="1" pivotButton="0" quotePrefix="0" xfId="0">
      <alignment horizontal="center"/>
    </xf>
    <xf numFmtId="0" fontId="0" fillId="0" borderId="10" pivotButton="0" quotePrefix="0" xfId="0"/>
    <xf numFmtId="15" fontId="4" fillId="0" borderId="31" applyAlignment="1" pivotButton="0" quotePrefix="0" xfId="0">
      <alignment horizontal="center"/>
    </xf>
    <xf numFmtId="176" fontId="5" fillId="12" borderId="18" applyAlignment="1" pivotButton="0" quotePrefix="0" xfId="0">
      <alignment vertical="center" wrapText="1"/>
    </xf>
    <xf numFmtId="168" fontId="39" fillId="3" borderId="18" applyAlignment="1" pivotButton="0" quotePrefix="0" xfId="0">
      <alignment horizontal="left" vertical="center"/>
    </xf>
    <xf numFmtId="10" fontId="42" fillId="0" borderId="18" applyAlignment="1" pivotButton="0" quotePrefix="0" xfId="18">
      <alignment horizontal="center"/>
    </xf>
    <xf numFmtId="3" fontId="38" fillId="0" borderId="2" applyAlignment="1" pivotButton="0" quotePrefix="0" xfId="0">
      <alignment horizontal="center" vertical="center" wrapText="1"/>
    </xf>
    <xf numFmtId="0" fontId="0" fillId="8" borderId="43" applyAlignment="1" pivotButton="0" quotePrefix="0" xfId="0">
      <alignment horizontal="center" vertical="center" wrapText="1"/>
    </xf>
    <xf numFmtId="0" fontId="0" fillId="8" borderId="16" applyAlignment="1" pivotButton="0" quotePrefix="0" xfId="0">
      <alignment horizontal="center" vertical="center" wrapText="1"/>
    </xf>
    <xf numFmtId="177" fontId="0" fillId="8" borderId="44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right" vertical="center"/>
    </xf>
    <xf numFmtId="0" fontId="0" fillId="2" borderId="10" applyAlignment="1" pivotButton="0" quotePrefix="0" xfId="0">
      <alignment horizontal="right" vertical="center"/>
    </xf>
    <xf numFmtId="0" fontId="0" fillId="2" borderId="2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51" fillId="0" borderId="0" pivotButton="0" quotePrefix="0" xfId="16"/>
    <xf numFmtId="0" fontId="29" fillId="0" borderId="0" pivotButton="0" quotePrefix="0" xfId="16"/>
    <xf numFmtId="0" fontId="3" fillId="0" borderId="0" applyAlignment="1" pivotButton="0" quotePrefix="0" xfId="16">
      <alignment horizontal="center"/>
    </xf>
    <xf numFmtId="17" fontId="2" fillId="7" borderId="1" applyAlignment="1" pivotButton="0" quotePrefix="0" xfId="16">
      <alignment horizontal="center"/>
    </xf>
    <xf numFmtId="0" fontId="14" fillId="0" borderId="0" pivotButton="0" quotePrefix="0" xfId="16"/>
    <xf numFmtId="0" fontId="52" fillId="0" borderId="0" pivotButton="0" quotePrefix="0" xfId="16"/>
    <xf numFmtId="0" fontId="53" fillId="0" borderId="0" pivotButton="0" quotePrefix="0" xfId="16"/>
    <xf numFmtId="0" fontId="29" fillId="0" borderId="45" pivotButton="0" quotePrefix="0" xfId="16"/>
    <xf numFmtId="0" fontId="54" fillId="0" borderId="46" applyAlignment="1" pivotButton="0" quotePrefix="0" xfId="16">
      <alignment horizontal="center"/>
    </xf>
    <xf numFmtId="39" fontId="29" fillId="3" borderId="0" pivotButton="0" quotePrefix="0" xfId="16"/>
    <xf numFmtId="0" fontId="29" fillId="0" borderId="46" pivotButton="0" quotePrefix="0" xfId="16"/>
    <xf numFmtId="0" fontId="2" fillId="0" borderId="0" pivotButton="0" quotePrefix="0" xfId="16"/>
    <xf numFmtId="178" fontId="2" fillId="0" borderId="45" pivotButton="0" quotePrefix="0" xfId="12"/>
    <xf numFmtId="39" fontId="29" fillId="0" borderId="0" pivotButton="0" quotePrefix="0" xfId="16"/>
    <xf numFmtId="10" fontId="29" fillId="0" borderId="0" applyAlignment="1" pivotButton="0" quotePrefix="0" xfId="16">
      <alignment horizontal="right"/>
    </xf>
    <xf numFmtId="10" fontId="2" fillId="0" borderId="0" applyAlignment="1" pivotButton="0" quotePrefix="0" xfId="16">
      <alignment horizontal="center"/>
    </xf>
    <xf numFmtId="39" fontId="29" fillId="0" borderId="46" pivotButton="0" quotePrefix="0" xfId="16"/>
    <xf numFmtId="39" fontId="2" fillId="0" borderId="45" pivotButton="0" quotePrefix="0" xfId="16"/>
    <xf numFmtId="39" fontId="29" fillId="3" borderId="46" pivotButton="0" quotePrefix="0" xfId="16"/>
    <xf numFmtId="39" fontId="29" fillId="3" borderId="47" pivotButton="0" quotePrefix="0" xfId="16"/>
    <xf numFmtId="39" fontId="14" fillId="0" borderId="46" pivotButton="0" quotePrefix="0" xfId="16"/>
    <xf numFmtId="178" fontId="2" fillId="7" borderId="45" pivotButton="0" quotePrefix="0" xfId="12"/>
    <xf numFmtId="0" fontId="55" fillId="0" borderId="0" pivotButton="0" quotePrefix="0" xfId="16"/>
    <xf numFmtId="0" fontId="57" fillId="0" borderId="46" pivotButton="0" quotePrefix="0" xfId="16"/>
    <xf numFmtId="0" fontId="58" fillId="0" borderId="0" pivotButton="0" quotePrefix="0" xfId="16"/>
    <xf numFmtId="0" fontId="42" fillId="3" borderId="0" applyAlignment="1" pivotButton="0" quotePrefix="0" xfId="16">
      <alignment horizontal="center"/>
    </xf>
    <xf numFmtId="0" fontId="60" fillId="0" borderId="0" pivotButton="0" quotePrefix="0" xfId="16"/>
    <xf numFmtId="178" fontId="2" fillId="0" borderId="1" pivotButton="0" quotePrefix="0" xfId="12"/>
    <xf numFmtId="0" fontId="2" fillId="0" borderId="48" applyAlignment="1" pivotButton="0" quotePrefix="0" xfId="16">
      <alignment horizontal="center"/>
    </xf>
    <xf numFmtId="0" fontId="2" fillId="0" borderId="44" applyAlignment="1" pivotButton="0" quotePrefix="0" xfId="16">
      <alignment horizontal="center"/>
    </xf>
    <xf numFmtId="0" fontId="29" fillId="0" borderId="0" applyAlignment="1" pivotButton="0" quotePrefix="0" xfId="16">
      <alignment vertical="center" wrapText="1"/>
    </xf>
    <xf numFmtId="178" fontId="18" fillId="3" borderId="1" pivotButton="0" quotePrefix="0" xfId="16"/>
    <xf numFmtId="0" fontId="61" fillId="0" borderId="0" pivotButton="0" quotePrefix="0" xfId="16"/>
    <xf numFmtId="39" fontId="29" fillId="7" borderId="46" pivotButton="0" quotePrefix="0" xfId="17"/>
    <xf numFmtId="39" fontId="29" fillId="3" borderId="49" pivotButton="0" quotePrefix="0" xfId="16"/>
    <xf numFmtId="39" fontId="29" fillId="7" borderId="46" pivotButton="0" quotePrefix="0" xfId="16"/>
    <xf numFmtId="0" fontId="55" fillId="0" borderId="46" pivotButton="0" quotePrefix="0" xfId="16"/>
    <xf numFmtId="0" fontId="55" fillId="0" borderId="49" pivotButton="0" quotePrefix="0" xfId="16"/>
    <xf numFmtId="0" fontId="29" fillId="0" borderId="0" applyAlignment="1" pivotButton="0" quotePrefix="0" xfId="16">
      <alignment horizontal="center" vertical="center" wrapText="1"/>
    </xf>
    <xf numFmtId="0" fontId="17" fillId="0" borderId="46" applyAlignment="1" pivotButton="0" quotePrefix="0" xfId="16">
      <alignment horizontal="center"/>
    </xf>
    <xf numFmtId="0" fontId="12" fillId="9" borderId="50" pivotButton="0" quotePrefix="0" xfId="16"/>
    <xf numFmtId="178" fontId="30" fillId="9" borderId="45" pivotButton="0" quotePrefix="0" xfId="12"/>
    <xf numFmtId="164" fontId="0" fillId="0" borderId="0" applyAlignment="1" pivotButton="0" quotePrefix="0" xfId="0">
      <alignment vertical="center"/>
    </xf>
    <xf numFmtId="164" fontId="66" fillId="0" borderId="0" applyAlignment="1" pivotButton="0" quotePrefix="0" xfId="6">
      <alignment vertical="center"/>
    </xf>
    <xf numFmtId="165" fontId="56" fillId="4" borderId="18" applyAlignment="1" pivotButton="0" quotePrefix="0" xfId="0">
      <alignment horizontal="center" vertical="center" wrapText="1"/>
    </xf>
    <xf numFmtId="165" fontId="68" fillId="7" borderId="18" applyAlignment="1" pivotButton="0" quotePrefix="0" xfId="0">
      <alignment horizontal="center"/>
    </xf>
    <xf numFmtId="168" fontId="30" fillId="3" borderId="18" applyAlignment="1" pivotButton="0" quotePrefix="0" xfId="0">
      <alignment horizontal="left" vertical="center"/>
    </xf>
    <xf numFmtId="164" fontId="59" fillId="15" borderId="1" applyAlignment="1" pivotButton="0" quotePrefix="0" xfId="6">
      <alignment vertical="center"/>
    </xf>
    <xf numFmtId="164" fontId="62" fillId="16" borderId="1" applyAlignment="1" pivotButton="0" quotePrefix="0" xfId="6">
      <alignment vertical="center" wrapText="1"/>
    </xf>
    <xf numFmtId="0" fontId="55" fillId="0" borderId="0" pivotButton="0" quotePrefix="0" xfId="0"/>
    <xf numFmtId="10" fontId="32" fillId="14" borderId="1" applyAlignment="1" pivotButton="0" quotePrefix="0" xfId="0">
      <alignment horizontal="center" vertical="center" wrapText="1"/>
    </xf>
    <xf numFmtId="164" fontId="36" fillId="14" borderId="1" applyAlignment="1" pivotButton="0" quotePrefix="0" xfId="6">
      <alignment vertical="center" wrapText="1"/>
    </xf>
    <xf numFmtId="164" fontId="59" fillId="15" borderId="0" applyAlignment="1" pivotButton="0" quotePrefix="0" xfId="6">
      <alignment vertical="center"/>
    </xf>
    <xf numFmtId="10" fontId="0" fillId="0" borderId="0" applyAlignment="1" pivotButton="0" quotePrefix="0" xfId="18">
      <alignment vertical="center" wrapText="1"/>
    </xf>
    <xf numFmtId="10" fontId="70" fillId="17" borderId="1" applyAlignment="1" pivotButton="0" quotePrefix="0" xfId="0">
      <alignment horizontal="center" vertical="center" wrapText="1"/>
    </xf>
    <xf numFmtId="1" fontId="0" fillId="13" borderId="1" applyAlignment="1" pivotButton="0" quotePrefix="0" xfId="0">
      <alignment horizontal="center"/>
    </xf>
    <xf numFmtId="179" fontId="2" fillId="6" borderId="18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/>
    </xf>
    <xf numFmtId="0" fontId="17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2" fontId="0" fillId="13" borderId="1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17" fillId="0" borderId="0" applyAlignment="1" pivotButton="0" quotePrefix="0" xfId="16">
      <alignment horizontal="center" vertical="center" wrapText="1"/>
    </xf>
    <xf numFmtId="0" fontId="29" fillId="0" borderId="0" applyAlignment="1" pivotButton="0" quotePrefix="0" xfId="16">
      <alignment horizontal="center"/>
    </xf>
    <xf numFmtId="39" fontId="29" fillId="7" borderId="0" applyAlignment="1" pivotButton="0" quotePrefix="0" xfId="16">
      <alignment horizontal="center"/>
    </xf>
    <xf numFmtId="39" fontId="2" fillId="0" borderId="46" pivotButton="0" quotePrefix="0" xfId="16"/>
    <xf numFmtId="10" fontId="2" fillId="7" borderId="0" applyAlignment="1" pivotButton="0" quotePrefix="0" xfId="16">
      <alignment horizontal="right"/>
    </xf>
    <xf numFmtId="164" fontId="2" fillId="7" borderId="0" pivotButton="0" quotePrefix="0" xfId="11"/>
    <xf numFmtId="0" fontId="2" fillId="9" borderId="1" applyAlignment="1" pivotButton="0" quotePrefix="0" xfId="0">
      <alignment horizontal="center" vertical="center" textRotation="90"/>
    </xf>
    <xf numFmtId="0" fontId="2" fillId="9" borderId="1" applyAlignment="1" pivotButton="0" quotePrefix="0" xfId="0">
      <alignment horizontal="center" vertical="center" textRotation="90" wrapText="1"/>
    </xf>
    <xf numFmtId="0" fontId="2" fillId="9" borderId="20" applyAlignment="1" pivotButton="0" quotePrefix="0" xfId="0">
      <alignment horizontal="center" vertical="center" textRotation="90" wrapText="1"/>
    </xf>
    <xf numFmtId="2" fontId="2" fillId="9" borderId="20" applyAlignment="1" pivotButton="0" quotePrefix="0" xfId="0">
      <alignment horizontal="center" vertical="center" textRotation="90" wrapText="1"/>
    </xf>
    <xf numFmtId="0" fontId="62" fillId="9" borderId="20" applyAlignment="1" pivotButton="0" quotePrefix="0" xfId="0">
      <alignment horizontal="center" vertical="center" textRotation="90" wrapText="1"/>
    </xf>
    <xf numFmtId="9" fontId="2" fillId="7" borderId="1" applyAlignment="1" pivotButton="0" quotePrefix="0" xfId="0">
      <alignment horizontal="center" vertical="center" wrapText="1"/>
    </xf>
    <xf numFmtId="1" fontId="2" fillId="7" borderId="1" applyAlignment="1" pivotButton="0" quotePrefix="0" xfId="0">
      <alignment horizontal="center" vertical="center" wrapText="1"/>
    </xf>
    <xf numFmtId="10" fontId="2" fillId="7" borderId="1" applyAlignment="1" pivotButton="0" quotePrefix="0" xfId="0">
      <alignment horizontal="center" vertical="center" wrapText="1"/>
    </xf>
    <xf numFmtId="164" fontId="2" fillId="7" borderId="1" applyAlignment="1" pivotButton="0" quotePrefix="0" xfId="6">
      <alignment horizontal="center" vertical="center" wrapText="1"/>
    </xf>
    <xf numFmtId="10" fontId="2" fillId="7" borderId="1" applyAlignment="1" pivotButton="0" quotePrefix="0" xfId="18">
      <alignment horizontal="center" vertical="center" wrapText="1"/>
    </xf>
    <xf numFmtId="176" fontId="2" fillId="7" borderId="1" applyAlignment="1" pivotButton="0" quotePrefix="0" xfId="0">
      <alignment horizontal="center" vertical="center" wrapText="1"/>
    </xf>
    <xf numFmtId="3" fontId="4" fillId="0" borderId="1" applyAlignment="1" pivotButton="0" quotePrefix="0" xfId="21">
      <alignment horizontal="center" vertical="center" wrapText="1"/>
    </xf>
    <xf numFmtId="176" fontId="2" fillId="3" borderId="1" applyAlignment="1" pivotButton="0" quotePrefix="0" xfId="0">
      <alignment vertical="center"/>
    </xf>
    <xf numFmtId="176" fontId="2" fillId="18" borderId="1" applyAlignment="1" pivotButton="0" quotePrefix="0" xfId="0">
      <alignment vertical="center"/>
    </xf>
    <xf numFmtId="176" fontId="2" fillId="12" borderId="1" applyAlignment="1" pivotButton="0" quotePrefix="0" xfId="0">
      <alignment vertical="center"/>
    </xf>
    <xf numFmtId="176" fontId="72" fillId="9" borderId="1" applyAlignment="1" pivotButton="0" quotePrefix="0" xfId="0">
      <alignment vertical="center"/>
    </xf>
    <xf numFmtId="176" fontId="2" fillId="0" borderId="1" applyAlignment="1" pivotButton="0" quotePrefix="0" xfId="0">
      <alignment horizontal="center" vertical="center"/>
    </xf>
    <xf numFmtId="180" fontId="59" fillId="7" borderId="1" applyAlignment="1" pivotButton="0" quotePrefix="0" xfId="0">
      <alignment horizontal="center" vertical="center"/>
    </xf>
    <xf numFmtId="3" fontId="0" fillId="8" borderId="1" pivotButton="0" quotePrefix="0" xfId="0"/>
    <xf numFmtId="9" fontId="29" fillId="0" borderId="0" pivotButton="0" quotePrefix="0" xfId="16"/>
    <xf numFmtId="0" fontId="2" fillId="13" borderId="1" applyAlignment="1" pivotButton="0" quotePrefix="0" xfId="0">
      <alignment vertical="center" wrapText="1"/>
    </xf>
    <xf numFmtId="0" fontId="2" fillId="13" borderId="1" applyAlignment="1" pivotButton="0" quotePrefix="0" xfId="0">
      <alignment horizontal="left" vertical="center" wrapText="1" indent="4"/>
    </xf>
    <xf numFmtId="1" fontId="0" fillId="13" borderId="1" applyAlignment="1" pivotButton="0" quotePrefix="0" xfId="0">
      <alignment horizontal="center" vertical="center"/>
    </xf>
    <xf numFmtId="9" fontId="0" fillId="0" borderId="0" applyAlignment="1" pivotButton="0" quotePrefix="0" xfId="18">
      <alignment horizontal="center"/>
    </xf>
    <xf numFmtId="181" fontId="4" fillId="0" borderId="1" applyAlignment="1" pivotButton="0" quotePrefix="0" xfId="18">
      <alignment horizontal="center" vertical="center"/>
    </xf>
    <xf numFmtId="0" fontId="73" fillId="0" borderId="1" applyAlignment="1" pivotButton="0" quotePrefix="0" xfId="0">
      <alignment vertical="center"/>
    </xf>
    <xf numFmtId="0" fontId="44" fillId="0" borderId="1" applyAlignment="1" pivotButton="0" quotePrefix="0" xfId="0">
      <alignment horizontal="center" vertical="center"/>
    </xf>
    <xf numFmtId="0" fontId="74" fillId="0" borderId="1" pivotButton="0" quotePrefix="0" xfId="0"/>
    <xf numFmtId="176" fontId="44" fillId="0" borderId="1" applyAlignment="1" pivotButton="0" quotePrefix="0" xfId="0">
      <alignment horizontal="center"/>
    </xf>
    <xf numFmtId="1" fontId="37" fillId="0" borderId="0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0" fontId="2" fillId="0" borderId="1" applyAlignment="1" pivotButton="0" quotePrefix="0" xfId="18">
      <alignment horizontal="center"/>
    </xf>
    <xf numFmtId="0" fontId="0" fillId="0" borderId="3" applyAlignment="1" pivotButton="0" quotePrefix="0" xfId="0">
      <alignment vertical="center"/>
    </xf>
    <xf numFmtId="182" fontId="14" fillId="0" borderId="1" applyAlignment="1" pivotButton="0" quotePrefix="0" xfId="6">
      <alignment vertical="center"/>
    </xf>
    <xf numFmtId="0" fontId="14" fillId="0" borderId="1" applyAlignment="1" pivotButton="0" quotePrefix="0" xfId="0">
      <alignment horizontal="center"/>
    </xf>
    <xf numFmtId="166" fontId="14" fillId="0" borderId="1" applyAlignment="1" pivotButton="0" quotePrefix="0" xfId="0">
      <alignment horizontal="center"/>
    </xf>
    <xf numFmtId="9" fontId="14" fillId="0" borderId="1" applyAlignment="1" pivotButton="0" quotePrefix="0" xfId="18">
      <alignment horizontal="center"/>
    </xf>
    <xf numFmtId="164" fontId="14" fillId="0" borderId="1" applyAlignment="1" pivotButton="0" quotePrefix="0" xfId="6">
      <alignment horizontal="center"/>
    </xf>
    <xf numFmtId="10" fontId="14" fillId="0" borderId="1" applyAlignment="1" pivotButton="0" quotePrefix="0" xfId="18">
      <alignment horizontal="center"/>
    </xf>
    <xf numFmtId="166" fontId="14" fillId="0" borderId="16" applyAlignment="1" pivotButton="0" quotePrefix="0" xfId="0">
      <alignment horizontal="center"/>
    </xf>
    <xf numFmtId="166" fontId="2" fillId="0" borderId="1" pivotButton="0" quotePrefix="0" xfId="0"/>
    <xf numFmtId="9" fontId="2" fillId="0" borderId="1" applyAlignment="1" pivotButton="0" quotePrefix="0" xfId="18">
      <alignment horizontal="center"/>
    </xf>
    <xf numFmtId="182" fontId="14" fillId="0" borderId="1" applyAlignment="1" pivotButton="0" quotePrefix="0" xfId="6">
      <alignment horizontal="center" vertical="center"/>
    </xf>
    <xf numFmtId="1" fontId="14" fillId="0" borderId="1" applyAlignment="1" pivotButton="0" quotePrefix="0" xfId="0">
      <alignment horizontal="center"/>
    </xf>
    <xf numFmtId="9" fontId="0" fillId="0" borderId="0" applyAlignment="1" pivotButton="0" quotePrefix="0" xfId="18">
      <alignment horizontal="center"/>
    </xf>
    <xf numFmtId="1" fontId="2" fillId="0" borderId="0" applyAlignment="1" pivotButton="0" quotePrefix="0" xfId="0">
      <alignment horizontal="center"/>
    </xf>
    <xf numFmtId="164" fontId="2" fillId="2" borderId="0" pivotButton="0" quotePrefix="0" xfId="6"/>
    <xf numFmtId="166" fontId="0" fillId="2" borderId="0" pivotButton="0" quotePrefix="0" xfId="0"/>
    <xf numFmtId="0" fontId="0" fillId="0" borderId="51" applyAlignment="1" pivotButton="0" quotePrefix="0" xfId="0">
      <alignment vertical="center"/>
    </xf>
    <xf numFmtId="182" fontId="14" fillId="0" borderId="20" applyAlignment="1" pivotButton="0" quotePrefix="0" xfId="6">
      <alignment horizontal="center" vertical="center"/>
    </xf>
    <xf numFmtId="0" fontId="14" fillId="0" borderId="20" applyAlignment="1" pivotButton="0" quotePrefix="0" xfId="0">
      <alignment horizontal="center"/>
    </xf>
    <xf numFmtId="166" fontId="14" fillId="0" borderId="20" applyAlignment="1" pivotButton="0" quotePrefix="0" xfId="0">
      <alignment horizontal="center"/>
    </xf>
    <xf numFmtId="9" fontId="14" fillId="0" borderId="20" applyAlignment="1" pivotButton="0" quotePrefix="0" xfId="18">
      <alignment horizontal="center"/>
    </xf>
    <xf numFmtId="164" fontId="14" fillId="0" borderId="20" applyAlignment="1" pivotButton="0" quotePrefix="0" xfId="6">
      <alignment horizontal="center"/>
    </xf>
    <xf numFmtId="10" fontId="14" fillId="0" borderId="20" applyAlignment="1" pivotButton="0" quotePrefix="0" xfId="18">
      <alignment horizontal="center"/>
    </xf>
    <xf numFmtId="166" fontId="14" fillId="0" borderId="21" applyAlignment="1" pivotButton="0" quotePrefix="0" xfId="0">
      <alignment horizontal="center"/>
    </xf>
    <xf numFmtId="182" fontId="14" fillId="0" borderId="0" applyAlignment="1" pivotButton="0" quotePrefix="0" xfId="6">
      <alignment horizontal="center" vertical="center"/>
    </xf>
    <xf numFmtId="166" fontId="14" fillId="0" borderId="0" applyAlignment="1" pivotButton="0" quotePrefix="0" xfId="0">
      <alignment horizontal="center"/>
    </xf>
    <xf numFmtId="164" fontId="25" fillId="0" borderId="0" applyAlignment="1" pivotButton="0" quotePrefix="0" xfId="6">
      <alignment vertical="center"/>
    </xf>
    <xf numFmtId="164" fontId="68" fillId="15" borderId="1" applyAlignment="1" pivotButton="0" quotePrefix="0" xfId="6">
      <alignment vertical="center"/>
    </xf>
    <xf numFmtId="3" fontId="77" fillId="0" borderId="8" applyAlignment="1" pivotButton="0" quotePrefix="0" xfId="0">
      <alignment vertical="center"/>
    </xf>
    <xf numFmtId="3" fontId="25" fillId="0" borderId="1" applyAlignment="1" pivotButton="0" quotePrefix="0" xfId="0">
      <alignment vertical="center"/>
    </xf>
    <xf numFmtId="164" fontId="78" fillId="19" borderId="1" applyAlignment="1" pivotButton="0" quotePrefix="0" xfId="6">
      <alignment vertical="center"/>
    </xf>
    <xf numFmtId="3" fontId="21" fillId="0" borderId="8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3" fontId="21" fillId="0" borderId="2" applyAlignment="1" pivotButton="0" quotePrefix="0" xfId="0">
      <alignment vertical="center"/>
    </xf>
    <xf numFmtId="3" fontId="25" fillId="0" borderId="0" applyAlignment="1" pivotButton="0" quotePrefix="1" xfId="0">
      <alignment horizontal="center" vertical="center" wrapText="1"/>
    </xf>
    <xf numFmtId="164" fontId="78" fillId="8" borderId="1" applyAlignment="1" pivotButton="0" quotePrefix="0" xfId="6">
      <alignment vertical="center"/>
    </xf>
    <xf numFmtId="9" fontId="25" fillId="0" borderId="8" applyAlignment="1" pivotButton="0" quotePrefix="0" xfId="18">
      <alignment horizontal="center" vertical="center"/>
    </xf>
    <xf numFmtId="3" fontId="21" fillId="0" borderId="31" applyAlignment="1" pivotButton="0" quotePrefix="0" xfId="0">
      <alignment vertical="center"/>
    </xf>
    <xf numFmtId="164" fontId="2" fillId="2" borderId="0" pivotButton="0" quotePrefix="0" xfId="6"/>
    <xf numFmtId="166" fontId="41" fillId="10" borderId="53" applyAlignment="1" pivotButton="0" quotePrefix="0" xfId="0">
      <alignment horizontal="center" vertical="center" wrapText="1"/>
    </xf>
    <xf numFmtId="166" fontId="6" fillId="8" borderId="54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/>
    </xf>
    <xf numFmtId="0" fontId="0" fillId="2" borderId="0" applyAlignment="1" pivotButton="0" quotePrefix="1" xfId="0">
      <alignment horizontal="center"/>
    </xf>
    <xf numFmtId="166" fontId="41" fillId="0" borderId="18" applyAlignment="1" pivotButton="0" quotePrefix="0" xfId="0">
      <alignment horizontal="center" vertical="center" wrapText="1"/>
    </xf>
    <xf numFmtId="0" fontId="14" fillId="0" borderId="31" applyAlignment="1" pivotButton="0" quotePrefix="0" xfId="0">
      <alignment horizontal="left"/>
    </xf>
    <xf numFmtId="10" fontId="4" fillId="0" borderId="0" applyAlignment="1" pivotButton="0" quotePrefix="0" xfId="0">
      <alignment vertical="center"/>
    </xf>
    <xf numFmtId="164" fontId="75" fillId="0" borderId="0" pivotButton="0" quotePrefix="0" xfId="6"/>
    <xf numFmtId="174" fontId="4" fillId="2" borderId="0" pivotButton="0" quotePrefix="0" xfId="0"/>
    <xf numFmtId="10" fontId="4" fillId="0" borderId="0" applyAlignment="1" pivotButton="0" quotePrefix="0" xfId="18">
      <alignment horizontal="center" vertical="center" wrapText="1"/>
    </xf>
    <xf numFmtId="176" fontId="42" fillId="6" borderId="1" applyAlignment="1" pivotButton="0" quotePrefix="0" xfId="0">
      <alignment vertical="center"/>
    </xf>
    <xf numFmtId="164" fontId="4" fillId="2" borderId="0" applyAlignment="1" pivotButton="0" quotePrefix="0" xfId="6">
      <alignment vertical="center"/>
    </xf>
    <xf numFmtId="166" fontId="0" fillId="2" borderId="0" applyAlignment="1" pivotButton="0" quotePrefix="0" xfId="0">
      <alignment vertical="center"/>
    </xf>
    <xf numFmtId="166" fontId="0" fillId="10" borderId="0" applyAlignment="1" pivotButton="0" quotePrefix="0" xfId="0">
      <alignment horizontal="center"/>
    </xf>
    <xf numFmtId="181" fontId="37" fillId="0" borderId="0" applyAlignment="1" pivotButton="0" quotePrefix="0" xfId="0">
      <alignment horizontal="center" vertical="center"/>
    </xf>
    <xf numFmtId="174" fontId="0" fillId="0" borderId="0" pivotButton="0" quotePrefix="0" xfId="0"/>
    <xf numFmtId="164" fontId="0" fillId="2" borderId="0" pivotButton="0" quotePrefix="0" xfId="6"/>
    <xf numFmtId="164" fontId="17" fillId="2" borderId="0" pivotButton="0" quotePrefix="0" xfId="0"/>
    <xf numFmtId="174" fontId="17" fillId="2" borderId="0" pivotButton="0" quotePrefix="0" xfId="0"/>
    <xf numFmtId="183" fontId="11" fillId="0" borderId="0" pivotButton="0" quotePrefix="0" xfId="0"/>
    <xf numFmtId="0" fontId="11" fillId="0" borderId="0" applyAlignment="1" pivotButton="0" quotePrefix="0" xfId="0">
      <alignment horizontal="center"/>
    </xf>
    <xf numFmtId="9" fontId="0" fillId="2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2" fillId="0" borderId="0" pivotButton="0" quotePrefix="0" xfId="6"/>
    <xf numFmtId="10" fontId="2" fillId="0" borderId="0" applyAlignment="1" pivotButton="0" quotePrefix="0" xfId="18">
      <alignment horizontal="center"/>
    </xf>
    <xf numFmtId="164" fontId="4" fillId="0" borderId="0" pivotButton="0" quotePrefix="0" xfId="0"/>
    <xf numFmtId="1" fontId="0" fillId="0" borderId="0" applyAlignment="1" pivotButton="0" quotePrefix="0" xfId="6">
      <alignment horizontal="center"/>
    </xf>
    <xf numFmtId="164" fontId="75" fillId="0" borderId="0" pivotButton="0" quotePrefix="0" xfId="0"/>
    <xf numFmtId="0" fontId="27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20" fillId="7" borderId="0" pivotButton="0" quotePrefix="0" xfId="0"/>
    <xf numFmtId="164" fontId="20" fillId="7" borderId="0" pivotButton="0" quotePrefix="0" xfId="6"/>
    <xf numFmtId="2" fontId="29" fillId="0" borderId="45" pivotButton="0" quotePrefix="0" xfId="16"/>
    <xf numFmtId="39" fontId="3" fillId="7" borderId="0" applyAlignment="1" pivotButton="0" quotePrefix="0" xfId="16">
      <alignment horizontal="center"/>
    </xf>
    <xf numFmtId="164" fontId="27" fillId="2" borderId="0" applyAlignment="1" pivotButton="0" quotePrefix="0" xfId="6">
      <alignment horizontal="center" vertical="center"/>
    </xf>
    <xf numFmtId="0" fontId="27" fillId="0" borderId="0" applyAlignment="1" pivotButton="0" quotePrefix="0" xfId="16">
      <alignment horizontal="center"/>
    </xf>
    <xf numFmtId="176" fontId="3" fillId="0" borderId="0" applyAlignment="1" pivotButton="0" quotePrefix="0" xfId="16">
      <alignment horizontal="center"/>
    </xf>
    <xf numFmtId="165" fontId="56" fillId="4" borderId="0" applyAlignment="1" pivotButton="0" quotePrefix="0" xfId="0">
      <alignment horizontal="center" vertical="center" wrapText="1"/>
    </xf>
    <xf numFmtId="182" fontId="58" fillId="0" borderId="0" applyAlignment="1" pivotButton="0" quotePrefix="0" xfId="6">
      <alignment horizontal="center" vertical="center"/>
    </xf>
    <xf numFmtId="164" fontId="29" fillId="0" borderId="0" pivotButton="0" quotePrefix="0" xfId="16"/>
    <xf numFmtId="0" fontId="7" fillId="0" borderId="0" applyAlignment="1" pivotButton="0" quotePrefix="0" xfId="0">
      <alignment horizontal="center" vertical="center" wrapText="1"/>
    </xf>
    <xf numFmtId="1" fontId="26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9" fontId="29" fillId="3" borderId="0" applyAlignment="1" pivotButton="0" quotePrefix="0" xfId="16">
      <alignment horizontal="center"/>
    </xf>
    <xf numFmtId="0" fontId="2" fillId="0" borderId="0" applyAlignment="1" pivotButton="0" quotePrefix="0" xfId="16">
      <alignment horizontal="right"/>
    </xf>
    <xf numFmtId="174" fontId="29" fillId="0" borderId="45" pivotButton="0" quotePrefix="0" xfId="16"/>
    <xf numFmtId="174" fontId="2" fillId="0" borderId="0" pivotButton="0" quotePrefix="0" xfId="16"/>
    <xf numFmtId="174" fontId="18" fillId="0" borderId="0" pivotButton="0" quotePrefix="0" xfId="16"/>
    <xf numFmtId="176" fontId="29" fillId="0" borderId="0" pivotButton="0" quotePrefix="0" xfId="16"/>
    <xf numFmtId="1" fontId="29" fillId="0" borderId="0" applyAlignment="1" pivotButton="0" quotePrefix="0" xfId="16">
      <alignment horizontal="center"/>
    </xf>
    <xf numFmtId="9" fontId="29" fillId="0" borderId="0" applyAlignment="1" pivotButton="0" quotePrefix="0" xfId="16">
      <alignment horizontal="center"/>
    </xf>
    <xf numFmtId="166" fontId="4" fillId="0" borderId="0" pivotButton="0" quotePrefix="0" xfId="0"/>
    <xf numFmtId="176" fontId="2" fillId="0" borderId="0" applyAlignment="1" pivotButton="0" quotePrefix="0" xfId="0">
      <alignment horizontal="center" vertical="center"/>
    </xf>
    <xf numFmtId="3" fontId="4" fillId="0" borderId="0" applyAlignment="1" pivotButton="0" quotePrefix="0" xfId="21">
      <alignment horizontal="center" vertical="center" wrapText="1"/>
    </xf>
    <xf numFmtId="176" fontId="14" fillId="0" borderId="0" applyAlignment="1" pivotButton="0" quotePrefix="0" xfId="0">
      <alignment vertical="center"/>
    </xf>
    <xf numFmtId="176" fontId="2" fillId="0" borderId="0" applyAlignment="1" pivotButton="0" quotePrefix="0" xfId="0">
      <alignment vertical="center"/>
    </xf>
    <xf numFmtId="164" fontId="75" fillId="0" borderId="0" pivotButton="0" quotePrefix="0" xfId="6"/>
    <xf numFmtId="164" fontId="0" fillId="0" borderId="0" pivotButton="0" quotePrefix="0" xfId="0"/>
    <xf numFmtId="176" fontId="42" fillId="0" borderId="0" applyAlignment="1" pivotButton="0" quotePrefix="0" xfId="0">
      <alignment vertical="center"/>
    </xf>
    <xf numFmtId="176" fontId="72" fillId="0" borderId="0" applyAlignment="1" pivotButton="0" quotePrefix="0" xfId="0">
      <alignment vertical="center"/>
    </xf>
    <xf numFmtId="180" fontId="59" fillId="0" borderId="0" applyAlignment="1" pivotButton="0" quotePrefix="0" xfId="0">
      <alignment horizontal="center" vertical="center"/>
    </xf>
    <xf numFmtId="182" fontId="4" fillId="2" borderId="0" pivotButton="0" quotePrefix="0" xfId="0"/>
    <xf numFmtId="2" fontId="4" fillId="0" borderId="1" applyAlignment="1" pivotButton="0" quotePrefix="0" xfId="0">
      <alignment horizontal="center"/>
    </xf>
    <xf numFmtId="184" fontId="18" fillId="0" borderId="0" applyAlignment="1" pivotButton="0" quotePrefix="0" xfId="6">
      <alignment horizontal="center" vertical="center" wrapText="1"/>
    </xf>
    <xf numFmtId="0" fontId="2" fillId="0" borderId="0" applyAlignment="1" pivotButton="0" quotePrefix="0" xfId="16">
      <alignment horizontal="center"/>
    </xf>
    <xf numFmtId="17" fontId="2" fillId="0" borderId="0" applyAlignment="1" pivotButton="0" quotePrefix="0" xfId="16">
      <alignment horizontal="center"/>
    </xf>
    <xf numFmtId="17" fontId="44" fillId="0" borderId="1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94" fillId="21" borderId="0" pivotButton="0" quotePrefix="0" xfId="16"/>
    <xf numFmtId="164" fontId="25" fillId="0" borderId="0" applyAlignment="1" pivotButton="0" quotePrefix="0" xfId="6">
      <alignment vertical="center"/>
    </xf>
    <xf numFmtId="165" fontId="0" fillId="0" borderId="0" pivotButton="0" quotePrefix="0" xfId="0"/>
    <xf numFmtId="185" fontId="29" fillId="0" borderId="0" pivotButton="0" quotePrefix="0" xfId="16"/>
    <xf numFmtId="186" fontId="0" fillId="0" borderId="0" applyAlignment="1" pivotButton="0" quotePrefix="0" xfId="0">
      <alignment horizontal="center"/>
    </xf>
    <xf numFmtId="0" fontId="29" fillId="22" borderId="0" pivotButton="0" quotePrefix="0" xfId="16"/>
    <xf numFmtId="10" fontId="29" fillId="22" borderId="0" applyAlignment="1" pivotButton="0" quotePrefix="0" xfId="16">
      <alignment horizontal="right"/>
    </xf>
    <xf numFmtId="39" fontId="29" fillId="22" borderId="46" pivotButton="0" quotePrefix="0" xfId="16"/>
    <xf numFmtId="0" fontId="29" fillId="22" borderId="45" pivotButton="0" quotePrefix="0" xfId="16"/>
    <xf numFmtId="0" fontId="95" fillId="22" borderId="0" pivotButton="0" quotePrefix="0" xfId="16"/>
    <xf numFmtId="10" fontId="14" fillId="3" borderId="0" applyAlignment="1" pivotButton="0" quotePrefix="0" xfId="18">
      <alignment horizontal="center"/>
    </xf>
    <xf numFmtId="10" fontId="56" fillId="4" borderId="0" applyAlignment="1" pivotButton="0" quotePrefix="0" xfId="18">
      <alignment horizontal="center" vertical="center" wrapText="1"/>
    </xf>
    <xf numFmtId="187" fontId="0" fillId="0" borderId="0" pivotButton="0" quotePrefix="0" xfId="0"/>
    <xf numFmtId="188" fontId="0" fillId="0" borderId="0" pivotButton="0" quotePrefix="0" xfId="0"/>
    <xf numFmtId="10" fontId="0" fillId="14" borderId="1" applyAlignment="1" pivotButton="0" quotePrefix="0" xfId="18">
      <alignment horizontal="center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center" wrapText="1"/>
    </xf>
    <xf numFmtId="0" fontId="82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" fontId="0" fillId="0" borderId="1" applyAlignment="1" pivotButton="0" quotePrefix="0" xfId="0">
      <alignment horizontal="center" wrapText="1"/>
    </xf>
    <xf numFmtId="0" fontId="0" fillId="0" borderId="4" applyAlignment="1" pivotButton="0" quotePrefix="0" xfId="0">
      <alignment wrapText="1"/>
    </xf>
    <xf numFmtId="164" fontId="0" fillId="0" borderId="1" applyAlignment="1" pivotButton="0" quotePrefix="0" xfId="6">
      <alignment horizontal="center" wrapText="1"/>
    </xf>
    <xf numFmtId="164" fontId="0" fillId="0" borderId="1" applyAlignment="1" pivotButton="0" quotePrefix="0" xfId="6">
      <alignment wrapText="1"/>
    </xf>
    <xf numFmtId="164" fontId="0" fillId="0" borderId="1" applyAlignment="1" pivotButton="0" quotePrefix="0" xfId="0">
      <alignment wrapText="1"/>
    </xf>
    <xf numFmtId="0" fontId="17" fillId="0" borderId="0" applyAlignment="1" pivotButton="0" quotePrefix="0" xfId="0">
      <alignment horizontal="center" vertical="center"/>
    </xf>
    <xf numFmtId="189" fontId="0" fillId="0" borderId="0" pivotButton="0" quotePrefix="0" xfId="0"/>
    <xf numFmtId="190" fontId="29" fillId="0" borderId="45" pivotButton="0" quotePrefix="0" xfId="16"/>
    <xf numFmtId="191" fontId="0" fillId="0" borderId="0" pivotButton="0" quotePrefix="0" xfId="6"/>
    <xf numFmtId="192" fontId="0" fillId="0" borderId="0" pivotButton="0" quotePrefix="0" xfId="0"/>
    <xf numFmtId="189" fontId="29" fillId="0" borderId="0" pivotButton="0" quotePrefix="0" xfId="16"/>
    <xf numFmtId="0" fontId="96" fillId="0" borderId="0" applyAlignment="1" pivotButton="0" quotePrefix="0" xfId="0">
      <alignment horizontal="justify" vertical="center"/>
    </xf>
    <xf numFmtId="0" fontId="85" fillId="0" borderId="0" applyAlignment="1" pivotButton="0" quotePrefix="0" xfId="0">
      <alignment horizontal="justify" vertical="center"/>
    </xf>
    <xf numFmtId="0" fontId="97" fillId="0" borderId="0" applyAlignment="1" pivotButton="0" quotePrefix="0" xfId="0">
      <alignment horizontal="left" vertical="center" indent="4"/>
    </xf>
    <xf numFmtId="0" fontId="87" fillId="0" borderId="0" applyAlignment="1" pivotButton="0" quotePrefix="0" xfId="0">
      <alignment vertical="center"/>
    </xf>
    <xf numFmtId="0" fontId="90" fillId="0" borderId="0" applyAlignment="1" pivotButton="0" quotePrefix="0" xfId="0">
      <alignment horizontal="justify" vertical="center"/>
    </xf>
    <xf numFmtId="0" fontId="90" fillId="0" borderId="0" applyAlignment="1" pivotButton="0" quotePrefix="0" xfId="0">
      <alignment horizontal="left" vertical="center" indent="4"/>
    </xf>
    <xf numFmtId="193" fontId="0" fillId="0" borderId="0" applyAlignment="1" pivotButton="0" quotePrefix="0" xfId="0">
      <alignment horizontal="center"/>
    </xf>
    <xf numFmtId="2" fontId="0" fillId="0" borderId="1" pivotButton="0" quotePrefix="0" xfId="0"/>
    <xf numFmtId="193" fontId="0" fillId="0" borderId="1" pivotButton="0" quotePrefix="0" xfId="0"/>
    <xf numFmtId="193" fontId="0" fillId="0" borderId="0" pivotButton="0" quotePrefix="0" xfId="0"/>
    <xf numFmtId="39" fontId="2" fillId="0" borderId="0" pivotButton="0" quotePrefix="0" xfId="16"/>
    <xf numFmtId="0" fontId="98" fillId="0" borderId="0" applyAlignment="1" pivotButton="0" quotePrefix="0" xfId="0">
      <alignment vertical="center"/>
    </xf>
    <xf numFmtId="189" fontId="29" fillId="0" borderId="45" pivotButton="0" quotePrefix="0" xfId="16"/>
    <xf numFmtId="165" fontId="0" fillId="0" borderId="1" pivotButton="0" quotePrefix="0" xfId="0"/>
    <xf numFmtId="186" fontId="0" fillId="0" borderId="1" pivotButton="0" quotePrefix="0" xfId="0"/>
    <xf numFmtId="164" fontId="0" fillId="0" borderId="1" pivotButton="0" quotePrefix="0" xfId="6"/>
    <xf numFmtId="164" fontId="0" fillId="0" borderId="1" pivotButton="0" quotePrefix="0" xfId="0"/>
    <xf numFmtId="187" fontId="0" fillId="0" borderId="1" pivotButton="0" quotePrefix="0" xfId="0"/>
    <xf numFmtId="0" fontId="1" fillId="8" borderId="1" pivotButton="0" quotePrefix="0" xfId="0"/>
    <xf numFmtId="39" fontId="14" fillId="7" borderId="46" pivotButton="0" quotePrefix="0" xfId="17"/>
    <xf numFmtId="0" fontId="1" fillId="0" borderId="1" pivotButton="0" quotePrefix="0" xfId="0"/>
    <xf numFmtId="0" fontId="1" fillId="0" borderId="0" pivotButton="0" quotePrefix="0" xfId="0"/>
    <xf numFmtId="3" fontId="25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3" fontId="25" fillId="0" borderId="0" applyAlignment="1" pivotButton="0" quotePrefix="0" xfId="0">
      <alignment horizontal="left" vertical="center"/>
    </xf>
    <xf numFmtId="1" fontId="25" fillId="0" borderId="0" applyAlignment="1" pivotButton="0" quotePrefix="0" xfId="3">
      <alignment horizontal="center" vertical="center" wrapText="1"/>
    </xf>
    <xf numFmtId="3" fontId="23" fillId="0" borderId="1" applyAlignment="1" pivotButton="0" quotePrefix="0" xfId="0">
      <alignment horizontal="left" vertical="center"/>
    </xf>
    <xf numFmtId="43" fontId="25" fillId="0" borderId="0" applyAlignment="1" pivotButton="0" quotePrefix="0" xfId="3">
      <alignment vertical="center"/>
    </xf>
    <xf numFmtId="0" fontId="1" fillId="0" borderId="1" applyAlignment="1" pivotButton="0" quotePrefix="1" xfId="0">
      <alignment horizontal="center" vertical="center"/>
    </xf>
    <xf numFmtId="169" fontId="14" fillId="0" borderId="23" applyAlignment="1" pivotButton="0" quotePrefix="0" xfId="3">
      <alignment horizontal="center" vertical="center"/>
    </xf>
    <xf numFmtId="0" fontId="14" fillId="0" borderId="0" applyAlignment="1" pivotButton="0" quotePrefix="0" xfId="0">
      <alignment vertical="center"/>
    </xf>
    <xf numFmtId="3" fontId="38" fillId="0" borderId="2" applyAlignment="1" pivotButton="0" quotePrefix="0" xfId="0">
      <alignment horizontal="center" vertical="center"/>
    </xf>
    <xf numFmtId="3" fontId="38" fillId="0" borderId="52" applyAlignment="1" pivotButton="0" quotePrefix="0" xfId="0">
      <alignment horizontal="center" vertical="center"/>
    </xf>
    <xf numFmtId="0" fontId="14" fillId="0" borderId="23" applyAlignment="1" pivotButton="0" quotePrefix="0" xfId="0">
      <alignment vertical="center"/>
    </xf>
    <xf numFmtId="164" fontId="25" fillId="0" borderId="0" applyAlignment="1" pivotButton="0" quotePrefix="0" xfId="6">
      <alignment vertical="center" wrapText="1"/>
    </xf>
    <xf numFmtId="2" fontId="21" fillId="0" borderId="1" applyAlignment="1" pivotButton="0" quotePrefix="0" xfId="0">
      <alignment horizontal="center" vertical="center" wrapText="1"/>
    </xf>
    <xf numFmtId="164" fontId="25" fillId="0" borderId="1" applyAlignment="1" pivotButton="0" quotePrefix="0" xfId="6">
      <alignment vertical="center" wrapText="1"/>
    </xf>
    <xf numFmtId="164" fontId="21" fillId="0" borderId="0" applyAlignment="1" pivotButton="0" quotePrefix="0" xfId="6">
      <alignment vertical="center" wrapText="1"/>
    </xf>
    <xf numFmtId="10" fontId="21" fillId="0" borderId="1" applyAlignment="1" pivotButton="0" quotePrefix="0" xfId="18">
      <alignment horizontal="center" vertical="center" wrapText="1"/>
    </xf>
    <xf numFmtId="10" fontId="21" fillId="0" borderId="0" applyAlignment="1" pivotButton="0" quotePrefix="0" xfId="18">
      <alignment horizontal="center" vertical="center" wrapText="1"/>
    </xf>
    <xf numFmtId="164" fontId="25" fillId="0" borderId="1" applyAlignment="1" pivotButton="0" quotePrefix="0" xfId="6">
      <alignment vertical="center"/>
    </xf>
    <xf numFmtId="164" fontId="35" fillId="6" borderId="1" applyAlignment="1" pivotButton="0" quotePrefix="0" xfId="6">
      <alignment vertical="center" wrapText="1"/>
    </xf>
    <xf numFmtId="164" fontId="35" fillId="0" borderId="0" applyAlignment="1" pivotButton="0" quotePrefix="0" xfId="6">
      <alignment vertical="center" wrapText="1"/>
    </xf>
    <xf numFmtId="0" fontId="4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right" vertical="center"/>
    </xf>
    <xf numFmtId="165" fontId="1" fillId="0" borderId="0" pivotButton="0" quotePrefix="0" xfId="0"/>
    <xf numFmtId="164" fontId="1" fillId="0" borderId="0" pivotButton="0" quotePrefix="0" xfId="6"/>
    <xf numFmtId="0" fontId="4" fillId="2" borderId="10" applyAlignment="1" pivotButton="0" quotePrefix="0" xfId="0">
      <alignment horizontal="right" vertical="center"/>
    </xf>
    <xf numFmtId="10" fontId="14" fillId="2" borderId="18" applyAlignment="1" pivotButton="0" quotePrefix="0" xfId="0">
      <alignment horizontal="center" vertical="center"/>
    </xf>
    <xf numFmtId="9" fontId="1" fillId="0" borderId="0" pivotButton="0" quotePrefix="0" xfId="18"/>
    <xf numFmtId="164" fontId="1" fillId="0" borderId="1" pivotButton="0" quotePrefix="0" xfId="6"/>
    <xf numFmtId="10" fontId="1" fillId="0" borderId="0" pivotButton="0" quotePrefix="0" xfId="0"/>
    <xf numFmtId="189" fontId="1" fillId="0" borderId="0" pivotButton="0" quotePrefix="0" xfId="0"/>
    <xf numFmtId="0" fontId="1" fillId="2" borderId="3" applyAlignment="1" pivotButton="0" quotePrefix="0" xfId="0">
      <alignment horizontal="center" vertical="center"/>
    </xf>
    <xf numFmtId="1" fontId="1" fillId="2" borderId="3" applyAlignment="1" pivotButton="0" quotePrefix="0" xfId="0">
      <alignment horizontal="center" vertical="center"/>
    </xf>
    <xf numFmtId="164" fontId="1" fillId="2" borderId="3" applyAlignment="1" pivotButton="0" quotePrefix="0" xfId="6">
      <alignment horizontal="center" vertical="center"/>
    </xf>
    <xf numFmtId="9" fontId="1" fillId="2" borderId="3" applyAlignment="1" pivotButton="0" quotePrefix="0" xfId="0">
      <alignment horizontal="center" vertical="center"/>
    </xf>
    <xf numFmtId="181" fontId="1" fillId="2" borderId="3" applyAlignment="1" pivotButton="0" quotePrefix="0" xfId="0">
      <alignment horizontal="center" vertical="center"/>
    </xf>
    <xf numFmtId="10" fontId="1" fillId="0" borderId="0" applyAlignment="1" pivotButton="0" quotePrefix="0" xfId="18">
      <alignment horizontal="center"/>
    </xf>
    <xf numFmtId="0" fontId="1" fillId="2" borderId="0" pivotButton="0" quotePrefix="0" xfId="0"/>
    <xf numFmtId="168" fontId="1" fillId="0" borderId="22" pivotButton="0" quotePrefix="0" xfId="0"/>
    <xf numFmtId="173" fontId="1" fillId="2" borderId="3" applyAlignment="1" pivotButton="0" quotePrefix="0" xfId="0">
      <alignment horizontal="center" vertical="center"/>
    </xf>
    <xf numFmtId="0" fontId="4" fillId="2" borderId="2" applyAlignment="1" pivotButton="0" quotePrefix="0" xfId="0">
      <alignment horizontal="right"/>
    </xf>
    <xf numFmtId="0" fontId="4" fillId="2" borderId="0" applyAlignment="1" pivotButton="0" quotePrefix="0" xfId="0">
      <alignment horizontal="left"/>
    </xf>
    <xf numFmtId="0" fontId="4" fillId="2" borderId="9" applyAlignment="1" pivotButton="0" quotePrefix="0" xfId="0">
      <alignment horizontal="right"/>
    </xf>
    <xf numFmtId="49" fontId="4" fillId="2" borderId="10" applyAlignment="1" pivotButton="0" quotePrefix="0" xfId="0">
      <alignment horizontal="left"/>
    </xf>
    <xf numFmtId="0" fontId="4" fillId="2" borderId="10" applyAlignment="1" pivotButton="0" quotePrefix="0" xfId="0">
      <alignment horizontal="left"/>
    </xf>
    <xf numFmtId="0" fontId="4" fillId="2" borderId="0" applyAlignment="1" pivotButton="0" quotePrefix="0" xfId="0">
      <alignment horizontal="right"/>
    </xf>
    <xf numFmtId="0" fontId="27" fillId="7" borderId="1" applyAlignment="1" pivotButton="0" quotePrefix="0" xfId="0">
      <alignment horizontal="center"/>
    </xf>
    <xf numFmtId="10" fontId="4" fillId="2" borderId="0" applyAlignment="1" pivotButton="0" quotePrefix="0" xfId="18">
      <alignment horizontal="center"/>
    </xf>
    <xf numFmtId="1" fontId="1" fillId="13" borderId="1" pivotButton="0" quotePrefix="0" xfId="0"/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6">
      <alignment vertical="center" wrapText="1"/>
    </xf>
    <xf numFmtId="0" fontId="1" fillId="0" borderId="45" pivotButton="0" quotePrefix="0" xfId="16"/>
    <xf numFmtId="10" fontId="14" fillId="0" borderId="0" applyAlignment="1" pivotButton="0" quotePrefix="0" xfId="18">
      <alignment horizontal="center"/>
    </xf>
    <xf numFmtId="164" fontId="14" fillId="0" borderId="0" pivotButton="0" quotePrefix="0" xfId="6"/>
    <xf numFmtId="9" fontId="14" fillId="7" borderId="0" applyAlignment="1" pivotButton="0" quotePrefix="0" xfId="18">
      <alignment horizontal="center"/>
    </xf>
    <xf numFmtId="164" fontId="14" fillId="0" borderId="46" pivotButton="0" quotePrefix="0" xfId="6"/>
    <xf numFmtId="0" fontId="1" fillId="0" borderId="0" pivotButton="0" quotePrefix="0" xfId="16"/>
    <xf numFmtId="10" fontId="14" fillId="0" borderId="0" applyAlignment="1" pivotButton="0" quotePrefix="0" xfId="18">
      <alignment horizontal="right"/>
    </xf>
    <xf numFmtId="164" fontId="14" fillId="0" borderId="45" pivotButton="0" quotePrefix="0" xfId="6"/>
    <xf numFmtId="10" fontId="14" fillId="0" borderId="0" pivotButton="0" quotePrefix="0" xfId="18"/>
    <xf numFmtId="10" fontId="14" fillId="0" borderId="0" pivotButton="0" quotePrefix="0" xfId="18"/>
    <xf numFmtId="164" fontId="14" fillId="22" borderId="0" pivotButton="0" quotePrefix="0" xfId="6"/>
    <xf numFmtId="10" fontId="14" fillId="0" borderId="0" pivotButton="0" quotePrefix="0" xfId="18"/>
    <xf numFmtId="178" fontId="14" fillId="3" borderId="0" pivotButton="0" quotePrefix="0" xfId="12"/>
    <xf numFmtId="10" fontId="14" fillId="3" borderId="0" pivotButton="0" quotePrefix="0" xfId="18"/>
    <xf numFmtId="178" fontId="14" fillId="0" borderId="1" pivotButton="0" quotePrefix="0" xfId="12"/>
    <xf numFmtId="176" fontId="44" fillId="7" borderId="1" applyAlignment="1" applyProtection="1" pivotButton="0" quotePrefix="0" xfId="0">
      <alignment horizontal="center"/>
      <protection locked="1" hidden="1"/>
    </xf>
    <xf numFmtId="176" fontId="1" fillId="0" borderId="1" applyAlignment="1" pivotButton="0" quotePrefix="0" xfId="0">
      <alignment vertical="center"/>
    </xf>
    <xf numFmtId="176" fontId="1" fillId="0" borderId="1" applyAlignment="1" pivotButton="0" quotePrefix="0" xfId="0">
      <alignment horizontal="center" vertical="center"/>
    </xf>
    <xf numFmtId="176" fontId="2" fillId="0" borderId="0" pivotButton="0" quotePrefix="0" xfId="0"/>
    <xf numFmtId="176" fontId="1" fillId="0" borderId="0" applyAlignment="1" pivotButton="0" quotePrefix="0" xfId="0">
      <alignment vertical="center"/>
    </xf>
    <xf numFmtId="176" fontId="1" fillId="0" borderId="0" applyAlignment="1" pivotButton="0" quotePrefix="0" xfId="0">
      <alignment horizontal="center" vertical="center"/>
    </xf>
    <xf numFmtId="0" fontId="4" fillId="2" borderId="37" applyAlignment="1" pivotButton="0" quotePrefix="0" xfId="0">
      <alignment horizontal="left" indent="1"/>
    </xf>
    <xf numFmtId="0" fontId="4" fillId="2" borderId="38" applyAlignment="1" pivotButton="0" quotePrefix="0" xfId="0">
      <alignment horizontal="left" indent="1"/>
    </xf>
    <xf numFmtId="0" fontId="1" fillId="13" borderId="1" applyAlignment="1" pivotButton="0" quotePrefix="0" xfId="0">
      <alignment vertical="center"/>
    </xf>
    <xf numFmtId="168" fontId="1" fillId="13" borderId="1" applyAlignment="1" pivotButton="0" quotePrefix="0" xfId="0">
      <alignment horizontal="center" vertical="center"/>
    </xf>
    <xf numFmtId="0" fontId="1" fillId="13" borderId="1" applyAlignment="1" pivotButton="0" quotePrefix="0" xfId="0">
      <alignment vertical="justify"/>
    </xf>
    <xf numFmtId="0" fontId="4" fillId="2" borderId="0" pivotButton="0" quotePrefix="0" xfId="0"/>
    <xf numFmtId="0" fontId="4" fillId="2" borderId="1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1" fontId="8" fillId="0" borderId="0" applyAlignment="1" pivotButton="0" quotePrefix="0" xfId="0">
      <alignment horizontal="center"/>
    </xf>
    <xf numFmtId="164" fontId="8" fillId="0" borderId="0" applyAlignment="1" pivotButton="0" quotePrefix="0" xfId="6">
      <alignment horizontal="center"/>
    </xf>
    <xf numFmtId="183" fontId="8" fillId="0" borderId="0" applyAlignment="1" pivotButton="0" quotePrefix="0" xfId="0">
      <alignment horizontal="center"/>
    </xf>
    <xf numFmtId="49" fontId="4" fillId="2" borderId="0" applyAlignment="1" pivotButton="0" quotePrefix="0" xfId="0">
      <alignment horizontal="left"/>
    </xf>
    <xf numFmtId="0" fontId="4" fillId="2" borderId="10" applyAlignment="1" pivotButton="0" quotePrefix="0" xfId="0">
      <alignment horizontal="center"/>
    </xf>
    <xf numFmtId="0" fontId="4" fillId="2" borderId="25" applyAlignment="1" pivotButton="0" quotePrefix="0" xfId="0">
      <alignment horizontal="center" vertical="center" wrapText="1"/>
    </xf>
    <xf numFmtId="0" fontId="27" fillId="2" borderId="26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64" fontId="1" fillId="0" borderId="1" applyAlignment="1" pivotButton="0" quotePrefix="0" xfId="6">
      <alignment horizontal="center" wrapText="1"/>
    </xf>
    <xf numFmtId="189" fontId="4" fillId="0" borderId="0" applyAlignment="1" pivotButton="0" quotePrefix="0" xfId="0">
      <alignment horizontal="center"/>
    </xf>
    <xf numFmtId="164" fontId="42" fillId="0" borderId="0" applyAlignment="1" pivotButton="0" quotePrefix="0" xfId="6">
      <alignment horizontal="center" vertical="center" wrapText="1"/>
    </xf>
    <xf numFmtId="3" fontId="1" fillId="8" borderId="1" pivotButton="0" quotePrefix="0" xfId="0"/>
    <xf numFmtId="187" fontId="1" fillId="0" borderId="0" pivotButton="0" quotePrefix="0" xfId="0"/>
    <xf numFmtId="39" fontId="29" fillId="0" borderId="0" applyAlignment="1" pivotButton="0" quotePrefix="0" xfId="16">
      <alignment vertical="center" wrapText="1"/>
    </xf>
    <xf numFmtId="0" fontId="6" fillId="2" borderId="2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4" fillId="2" borderId="22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26" fillId="0" borderId="1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7" fillId="9" borderId="4" applyAlignment="1" pivotButton="0" quotePrefix="0" xfId="0">
      <alignment horizontal="right"/>
    </xf>
    <xf numFmtId="0" fontId="27" fillId="9" borderId="22" applyAlignment="1" pivotButton="0" quotePrefix="0" xfId="0">
      <alignment horizontal="right"/>
    </xf>
    <xf numFmtId="0" fontId="27" fillId="9" borderId="3" applyAlignment="1" pivotButton="0" quotePrefix="0" xfId="0">
      <alignment horizontal="right"/>
    </xf>
    <xf numFmtId="0" fontId="17" fillId="0" borderId="0" applyAlignment="1" pivotButton="0" quotePrefix="0" xfId="0">
      <alignment horizontal="center" vertical="center" wrapText="1"/>
    </xf>
    <xf numFmtId="0" fontId="0" fillId="9" borderId="4" applyAlignment="1" pivotButton="0" quotePrefix="0" xfId="0">
      <alignment horizontal="left"/>
    </xf>
    <xf numFmtId="0" fontId="0" fillId="9" borderId="22" applyAlignment="1" pivotButton="0" quotePrefix="0" xfId="0">
      <alignment horizontal="left"/>
    </xf>
    <xf numFmtId="0" fontId="0" fillId="9" borderId="3" applyAlignment="1" pivotButton="0" quotePrefix="0" xfId="0">
      <alignment horizontal="left"/>
    </xf>
    <xf numFmtId="0" fontId="46" fillId="9" borderId="4" applyAlignment="1" pivotButton="0" quotePrefix="0" xfId="0">
      <alignment horizontal="center" vertical="center"/>
    </xf>
    <xf numFmtId="0" fontId="46" fillId="9" borderId="3" applyAlignment="1" pivotButton="0" quotePrefix="0" xfId="0">
      <alignment horizontal="center" vertical="center"/>
    </xf>
    <xf numFmtId="176" fontId="5" fillId="6" borderId="4" applyAlignment="1" pivotButton="0" quotePrefix="0" xfId="0">
      <alignment horizontal="center" vertical="center"/>
    </xf>
    <xf numFmtId="0" fontId="5" fillId="6" borderId="22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176" fontId="63" fillId="7" borderId="4" applyAlignment="1" pivotButton="0" quotePrefix="0" xfId="0">
      <alignment horizontal="center" vertical="center"/>
    </xf>
    <xf numFmtId="176" fontId="63" fillId="7" borderId="22" applyAlignment="1" pivotButton="0" quotePrefix="0" xfId="0">
      <alignment horizontal="center" vertical="center"/>
    </xf>
    <xf numFmtId="176" fontId="63" fillId="7" borderId="3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4" fillId="6" borderId="22" applyAlignment="1" pivotButton="0" quotePrefix="0" xfId="0">
      <alignment horizontal="center" vertical="center"/>
    </xf>
    <xf numFmtId="10" fontId="2" fillId="6" borderId="1" applyAlignment="1" pivotButton="0" quotePrefix="0" xfId="18">
      <alignment horizontal="center" vertical="center" wrapText="1"/>
    </xf>
    <xf numFmtId="0" fontId="46" fillId="17" borderId="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/>
    </xf>
    <xf numFmtId="176" fontId="5" fillId="8" borderId="4" applyAlignment="1" pivotButton="0" quotePrefix="0" xfId="0">
      <alignment horizontal="center" vertical="center"/>
    </xf>
    <xf numFmtId="176" fontId="5" fillId="8" borderId="22" applyAlignment="1" pivotButton="0" quotePrefix="0" xfId="0">
      <alignment horizontal="center" vertical="center"/>
    </xf>
    <xf numFmtId="176" fontId="5" fillId="8" borderId="3" applyAlignment="1" pivotButton="0" quotePrefix="0" xfId="0">
      <alignment horizontal="center" vertical="center"/>
    </xf>
    <xf numFmtId="0" fontId="45" fillId="0" borderId="31" applyAlignment="1" pivotButton="0" quotePrefix="0" xfId="0">
      <alignment horizontal="center"/>
    </xf>
    <xf numFmtId="0" fontId="4" fillId="20" borderId="1" applyAlignment="1" pivotButton="0" quotePrefix="0" xfId="0">
      <alignment horizontal="center" vertical="center"/>
    </xf>
    <xf numFmtId="0" fontId="0" fillId="9" borderId="4" applyAlignment="1" pivotButton="0" quotePrefix="0" xfId="0">
      <alignment vertical="center" wrapText="1"/>
    </xf>
    <xf numFmtId="0" fontId="0" fillId="9" borderId="22" applyAlignment="1" pivotButton="0" quotePrefix="0" xfId="0">
      <alignment vertical="center" wrapText="1"/>
    </xf>
    <xf numFmtId="0" fontId="0" fillId="9" borderId="3" applyAlignment="1" pivotButton="0" quotePrefix="0" xfId="0">
      <alignment vertical="center" wrapText="1"/>
    </xf>
    <xf numFmtId="3" fontId="59" fillId="7" borderId="4" applyAlignment="1" pivotButton="0" quotePrefix="0" xfId="0">
      <alignment horizontal="center" vertical="center"/>
    </xf>
    <xf numFmtId="3" fontId="59" fillId="7" borderId="22" applyAlignment="1" pivotButton="0" quotePrefix="0" xfId="0">
      <alignment horizontal="center" vertical="center"/>
    </xf>
    <xf numFmtId="3" fontId="59" fillId="7" borderId="3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/>
    </xf>
    <xf numFmtId="0" fontId="4" fillId="8" borderId="4" applyAlignment="1" pivotButton="0" quotePrefix="0" xfId="0">
      <alignment horizontal="center" vertical="center"/>
    </xf>
    <xf numFmtId="0" fontId="4" fillId="8" borderId="22" applyAlignment="1" pivotButton="0" quotePrefix="0" xfId="0">
      <alignment horizontal="center" vertical="center"/>
    </xf>
    <xf numFmtId="3" fontId="0" fillId="0" borderId="22" applyAlignment="1" pivotButton="0" quotePrefix="0" xfId="0">
      <alignment horizontal="right"/>
    </xf>
    <xf numFmtId="0" fontId="45" fillId="0" borderId="0" pivotButton="0" quotePrefix="0" xfId="0"/>
    <xf numFmtId="0" fontId="45" fillId="0" borderId="52" pivotButton="0" quotePrefix="0" xfId="0"/>
    <xf numFmtId="0" fontId="4" fillId="9" borderId="4" applyAlignment="1" pivotButton="0" quotePrefix="0" xfId="0">
      <alignment horizontal="left"/>
    </xf>
    <xf numFmtId="0" fontId="4" fillId="9" borderId="22" applyAlignment="1" pivotButton="0" quotePrefix="0" xfId="0">
      <alignment horizontal="left"/>
    </xf>
    <xf numFmtId="0" fontId="4" fillId="9" borderId="3" applyAlignment="1" pivotButton="0" quotePrefix="0" xfId="0">
      <alignment horizontal="left"/>
    </xf>
    <xf numFmtId="0" fontId="0" fillId="9" borderId="55" applyAlignment="1" pivotButton="0" quotePrefix="0" xfId="0">
      <alignment horizontal="justify" vertical="top"/>
    </xf>
    <xf numFmtId="0" fontId="0" fillId="9" borderId="42" applyAlignment="1" pivotButton="0" quotePrefix="0" xfId="0">
      <alignment horizontal="justify" vertical="top"/>
    </xf>
    <xf numFmtId="0" fontId="0" fillId="9" borderId="51" applyAlignment="1" pivotButton="0" quotePrefix="0" xfId="0">
      <alignment horizontal="justify" vertical="top"/>
    </xf>
    <xf numFmtId="0" fontId="0" fillId="9" borderId="37" applyAlignment="1" pivotButton="0" quotePrefix="0" xfId="0">
      <alignment horizontal="justify" vertical="top"/>
    </xf>
    <xf numFmtId="0" fontId="0" fillId="9" borderId="0" applyAlignment="1" pivotButton="0" quotePrefix="0" xfId="0">
      <alignment horizontal="justify" vertical="top"/>
    </xf>
    <xf numFmtId="0" fontId="0" fillId="9" borderId="52" applyAlignment="1" pivotButton="0" quotePrefix="0" xfId="0">
      <alignment horizontal="justify" vertical="top"/>
    </xf>
    <xf numFmtId="0" fontId="0" fillId="9" borderId="56" applyAlignment="1" pivotButton="0" quotePrefix="0" xfId="0">
      <alignment horizontal="justify" vertical="top"/>
    </xf>
    <xf numFmtId="0" fontId="0" fillId="9" borderId="31" applyAlignment="1" pivotButton="0" quotePrefix="0" xfId="0">
      <alignment horizontal="justify" vertical="top"/>
    </xf>
    <xf numFmtId="0" fontId="0" fillId="9" borderId="57" applyAlignment="1" pivotButton="0" quotePrefix="0" xfId="0">
      <alignment horizontal="justify" vertical="top"/>
    </xf>
    <xf numFmtId="0" fontId="45" fillId="0" borderId="0" applyAlignment="1" pivotButton="0" quotePrefix="0" xfId="0">
      <alignment horizontal="left"/>
    </xf>
    <xf numFmtId="0" fontId="4" fillId="9" borderId="1" applyAlignment="1" pivotButton="0" quotePrefix="0" xfId="0">
      <alignment horizontal="center"/>
    </xf>
    <xf numFmtId="15" fontId="4" fillId="9" borderId="4" applyAlignment="1" pivotButton="0" quotePrefix="0" xfId="0">
      <alignment horizontal="center"/>
    </xf>
    <xf numFmtId="15" fontId="4" fillId="9" borderId="22" applyAlignment="1" pivotButton="0" quotePrefix="0" xfId="0">
      <alignment horizontal="center"/>
    </xf>
    <xf numFmtId="15" fontId="4" fillId="9" borderId="3" applyAlignment="1" pivotButton="0" quotePrefix="0" xfId="0">
      <alignment horizontal="center"/>
    </xf>
    <xf numFmtId="0" fontId="4" fillId="9" borderId="4" applyAlignment="1" pivotButton="0" quotePrefix="0" xfId="0">
      <alignment horizontal="center"/>
    </xf>
    <xf numFmtId="0" fontId="4" fillId="9" borderId="22" applyAlignment="1" pivotButton="0" quotePrefix="0" xfId="0">
      <alignment horizontal="center"/>
    </xf>
    <xf numFmtId="0" fontId="4" fillId="9" borderId="3" applyAlignment="1" pivotButton="0" quotePrefix="0" xfId="0">
      <alignment horizontal="center"/>
    </xf>
    <xf numFmtId="0" fontId="47" fillId="0" borderId="0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center"/>
    </xf>
    <xf numFmtId="0" fontId="44" fillId="0" borderId="0" applyAlignment="1" pivotButton="0" quotePrefix="0" xfId="0">
      <alignment horizontal="center"/>
    </xf>
    <xf numFmtId="0" fontId="4" fillId="9" borderId="4" applyAlignment="1" pivotButton="0" quotePrefix="0" xfId="0">
      <alignment horizontal="left" vertical="center" wrapText="1"/>
    </xf>
    <xf numFmtId="0" fontId="4" fillId="9" borderId="22" applyAlignment="1" pivotButton="0" quotePrefix="0" xfId="0">
      <alignment horizontal="left" vertical="center" wrapText="1"/>
    </xf>
    <xf numFmtId="0" fontId="4" fillId="9" borderId="3" applyAlignment="1" pivotButton="0" quotePrefix="0" xfId="0">
      <alignment horizontal="left" vertical="center" wrapText="1"/>
    </xf>
    <xf numFmtId="0" fontId="14" fillId="0" borderId="31" applyAlignment="1" pivotButton="0" quotePrefix="0" xfId="0">
      <alignment horizontal="center"/>
    </xf>
    <xf numFmtId="0" fontId="14" fillId="0" borderId="31" applyAlignment="1" pivotButton="0" quotePrefix="0" xfId="0">
      <alignment horizontal="left"/>
    </xf>
    <xf numFmtId="3" fontId="25" fillId="0" borderId="0" applyAlignment="1" pivotButton="0" quotePrefix="0" xfId="0">
      <alignment horizontal="left" vertical="center" wrapText="1"/>
    </xf>
    <xf numFmtId="3" fontId="25" fillId="0" borderId="52" applyAlignment="1" pivotButton="0" quotePrefix="0" xfId="0">
      <alignment horizontal="left" vertical="center" wrapText="1"/>
    </xf>
    <xf numFmtId="3" fontId="65" fillId="0" borderId="0" applyAlignment="1" pivotButton="0" quotePrefix="0" xfId="0">
      <alignment horizontal="right" vertical="center"/>
    </xf>
    <xf numFmtId="3" fontId="25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/>
    </xf>
    <xf numFmtId="0" fontId="37" fillId="0" borderId="1" applyAlignment="1" pivotButton="0" quotePrefix="0" xfId="0">
      <alignment horizontal="center"/>
    </xf>
    <xf numFmtId="10" fontId="21" fillId="0" borderId="0" applyAlignment="1" pivotButton="0" quotePrefix="0" xfId="0">
      <alignment horizontal="center" vertical="center" wrapText="1"/>
    </xf>
    <xf numFmtId="3" fontId="21" fillId="0" borderId="1" applyAlignment="1" pivotButton="0" quotePrefix="0" xfId="0">
      <alignment horizontal="center" vertical="center" wrapText="1"/>
    </xf>
    <xf numFmtId="176" fontId="79" fillId="14" borderId="4" applyAlignment="1" pivotButton="0" quotePrefix="0" xfId="6">
      <alignment horizontal="center" vertical="center" wrapText="1"/>
    </xf>
    <xf numFmtId="176" fontId="79" fillId="14" borderId="22" applyAlignment="1" pivotButton="0" quotePrefix="0" xfId="6">
      <alignment horizontal="center" vertical="center" wrapText="1"/>
    </xf>
    <xf numFmtId="176" fontId="79" fillId="14" borderId="3" applyAlignment="1" pivotButton="0" quotePrefix="0" xfId="6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0" fontId="21" fillId="0" borderId="0" applyAlignment="1" applyProtection="1" pivotButton="0" quotePrefix="0" xfId="0">
      <alignment horizontal="center" vertical="center"/>
      <protection locked="0" hidden="0"/>
    </xf>
    <xf numFmtId="10" fontId="21" fillId="0" borderId="52" applyAlignment="1" applyProtection="1" pivotButton="0" quotePrefix="0" xfId="0">
      <alignment horizontal="center" vertical="center"/>
      <protection locked="0" hidden="0"/>
    </xf>
    <xf numFmtId="10" fontId="78" fillId="19" borderId="4" applyAlignment="1" pivotButton="0" quotePrefix="0" xfId="18">
      <alignment horizontal="center" vertical="center"/>
    </xf>
    <xf numFmtId="10" fontId="78" fillId="19" borderId="3" applyAlignment="1" pivotButton="0" quotePrefix="0" xfId="18">
      <alignment horizontal="center" vertical="center"/>
    </xf>
    <xf numFmtId="173" fontId="76" fillId="7" borderId="4" applyAlignment="1" pivotButton="0" quotePrefix="0" xfId="0">
      <alignment horizontal="center" vertical="center"/>
    </xf>
    <xf numFmtId="173" fontId="76" fillId="7" borderId="3" applyAlignment="1" pivotButton="0" quotePrefix="0" xfId="0">
      <alignment horizontal="center" vertical="center"/>
    </xf>
    <xf numFmtId="3" fontId="62" fillId="7" borderId="4" applyAlignment="1" pivotButton="0" quotePrefix="0" xfId="0">
      <alignment horizontal="center" vertical="center"/>
    </xf>
    <xf numFmtId="3" fontId="62" fillId="7" borderId="3" applyAlignment="1" pivotButton="0" quotePrefix="0" xfId="0">
      <alignment horizontal="center" vertical="center"/>
    </xf>
    <xf numFmtId="0" fontId="43" fillId="2" borderId="58" applyAlignment="1" pivotButton="0" quotePrefix="0" xfId="0">
      <alignment horizontal="center" vertical="center"/>
    </xf>
    <xf numFmtId="0" fontId="4" fillId="2" borderId="59" applyAlignment="1" pivotButton="0" quotePrefix="0" xfId="0">
      <alignment horizontal="center" vertical="center" wrapText="1"/>
    </xf>
    <xf numFmtId="3" fontId="25" fillId="0" borderId="0" applyAlignment="1" pivotButton="0" quotePrefix="0" xfId="0">
      <alignment horizontal="center"/>
    </xf>
    <xf numFmtId="3" fontId="25" fillId="8" borderId="1" applyAlignment="1" pivotButton="0" quotePrefix="0" xfId="0">
      <alignment horizontal="center" vertical="center"/>
    </xf>
    <xf numFmtId="0" fontId="40" fillId="6" borderId="60" applyAlignment="1" pivotButton="0" quotePrefix="0" xfId="0">
      <alignment horizontal="center" vertical="center" wrapText="1"/>
    </xf>
    <xf numFmtId="0" fontId="40" fillId="6" borderId="29" applyAlignment="1" pivotButton="0" quotePrefix="0" xfId="0">
      <alignment horizontal="center" vertical="center" wrapText="1"/>
    </xf>
    <xf numFmtId="0" fontId="40" fillId="6" borderId="61" applyAlignment="1" pivotButton="0" quotePrefix="0" xfId="0">
      <alignment horizontal="center" vertical="center" wrapText="1"/>
    </xf>
    <xf numFmtId="0" fontId="4" fillId="6" borderId="37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52" applyAlignment="1" pivotButton="0" quotePrefix="0" xfId="0">
      <alignment horizontal="center" vertical="center" wrapText="1"/>
    </xf>
    <xf numFmtId="0" fontId="4" fillId="6" borderId="62" applyAlignment="1" pivotButton="0" quotePrefix="0" xfId="0">
      <alignment horizontal="center" vertical="center" wrapText="1"/>
    </xf>
    <xf numFmtId="0" fontId="4" fillId="6" borderId="30" applyAlignment="1" pivotButton="0" quotePrefix="0" xfId="0">
      <alignment horizontal="center" vertical="center" wrapText="1"/>
    </xf>
    <xf numFmtId="0" fontId="4" fillId="6" borderId="63" applyAlignment="1" pivotButton="0" quotePrefix="0" xfId="0">
      <alignment horizontal="center" vertical="center" wrapText="1"/>
    </xf>
    <xf numFmtId="0" fontId="6" fillId="6" borderId="37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6" borderId="52" applyAlignment="1" pivotButton="0" quotePrefix="0" xfId="0">
      <alignment horizontal="center" vertical="center" wrapText="1"/>
    </xf>
    <xf numFmtId="0" fontId="43" fillId="2" borderId="14" applyAlignment="1" pivotButton="0" quotePrefix="0" xfId="0">
      <alignment horizontal="center" vertical="center"/>
    </xf>
    <xf numFmtId="0" fontId="43" fillId="2" borderId="15" applyAlignment="1" pivotButton="0" quotePrefix="0" xfId="0">
      <alignment horizontal="center" vertical="center"/>
    </xf>
    <xf numFmtId="0" fontId="43" fillId="2" borderId="7" applyAlignment="1" pivotButton="0" quotePrefix="0" xfId="0">
      <alignment horizontal="center" vertical="center"/>
    </xf>
    <xf numFmtId="0" fontId="2" fillId="8" borderId="19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64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2" borderId="7" applyAlignment="1" pivotButton="0" quotePrefix="0" xfId="0">
      <alignment horizontal="center" vertical="center" wrapText="1"/>
    </xf>
    <xf numFmtId="0" fontId="13" fillId="2" borderId="14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10" fontId="69" fillId="7" borderId="14" applyAlignment="1" pivotButton="0" quotePrefix="0" xfId="0">
      <alignment horizontal="center" vertical="center" wrapText="1"/>
    </xf>
    <xf numFmtId="0" fontId="69" fillId="7" borderId="7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7" fillId="2" borderId="4" applyAlignment="1" pivotButton="0" quotePrefix="0" xfId="0">
      <alignment horizontal="left"/>
    </xf>
    <xf numFmtId="0" fontId="7" fillId="2" borderId="22" applyAlignment="1" pivotButton="0" quotePrefix="0" xfId="0">
      <alignment horizontal="left"/>
    </xf>
    <xf numFmtId="0" fontId="7" fillId="2" borderId="4" pivotButton="0" quotePrefix="0" xfId="0"/>
    <xf numFmtId="0" fontId="7" fillId="2" borderId="22" pivotButton="0" quotePrefix="0" xfId="0"/>
    <xf numFmtId="0" fontId="0" fillId="2" borderId="55" applyAlignment="1" pivotButton="0" quotePrefix="0" xfId="0">
      <alignment horizontal="center"/>
    </xf>
    <xf numFmtId="0" fontId="0" fillId="2" borderId="51" applyAlignment="1" pivotButton="0" quotePrefix="0" xfId="0">
      <alignment horizontal="center"/>
    </xf>
    <xf numFmtId="0" fontId="0" fillId="2" borderId="37" applyAlignment="1" pivotButton="0" quotePrefix="0" xfId="0">
      <alignment horizontal="center"/>
    </xf>
    <xf numFmtId="0" fontId="0" fillId="2" borderId="52" applyAlignment="1" pivotButton="0" quotePrefix="0" xfId="0">
      <alignment horizontal="center"/>
    </xf>
    <xf numFmtId="0" fontId="0" fillId="2" borderId="56" applyAlignment="1" pivotButton="0" quotePrefix="0" xfId="0">
      <alignment horizontal="center"/>
    </xf>
    <xf numFmtId="0" fontId="0" fillId="2" borderId="57" applyAlignment="1" pivotButton="0" quotePrefix="0" xfId="0">
      <alignment horizontal="center"/>
    </xf>
    <xf numFmtId="166" fontId="2" fillId="6" borderId="14" applyAlignment="1" pivotButton="0" quotePrefix="0" xfId="0">
      <alignment horizontal="center" vertical="center" wrapText="1"/>
    </xf>
    <xf numFmtId="166" fontId="2" fillId="6" borderId="15" applyAlignment="1" pivotButton="0" quotePrefix="0" xfId="0">
      <alignment horizontal="center" vertical="center" wrapText="1"/>
    </xf>
    <xf numFmtId="166" fontId="2" fillId="6" borderId="7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/>
    </xf>
    <xf numFmtId="0" fontId="6" fillId="3" borderId="15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2" fillId="7" borderId="1" applyAlignment="1" pivotButton="0" quotePrefix="0" xfId="16">
      <alignment horizontal="center"/>
    </xf>
    <xf numFmtId="178" fontId="18" fillId="7" borderId="1" applyAlignment="1" pivotButton="0" quotePrefix="0" xfId="12">
      <alignment horizontal="center"/>
    </xf>
    <xf numFmtId="0" fontId="2" fillId="12" borderId="14" applyAlignment="1" pivotButton="0" quotePrefix="0" xfId="16">
      <alignment horizontal="center" vertical="center" wrapText="1"/>
    </xf>
    <xf numFmtId="0" fontId="2" fillId="12" borderId="15" applyAlignment="1" pivotButton="0" quotePrefix="0" xfId="16">
      <alignment horizontal="center" vertical="center" wrapText="1"/>
    </xf>
    <xf numFmtId="3" fontId="2" fillId="6" borderId="17" applyAlignment="1" pivotButton="0" quotePrefix="0" xfId="16">
      <alignment horizontal="center"/>
    </xf>
    <xf numFmtId="0" fontId="2" fillId="6" borderId="26" applyAlignment="1" pivotButton="0" quotePrefix="0" xfId="16">
      <alignment horizontal="center"/>
    </xf>
    <xf numFmtId="0" fontId="2" fillId="6" borderId="17" applyAlignment="1" pivotButton="0" quotePrefix="0" xfId="16">
      <alignment horizontal="center"/>
    </xf>
    <xf numFmtId="0" fontId="17" fillId="0" borderId="0" applyAlignment="1" pivotButton="0" quotePrefix="0" xfId="16">
      <alignment horizontal="center" vertical="center" wrapText="1"/>
    </xf>
    <xf numFmtId="0" fontId="31" fillId="0" borderId="0" applyAlignment="1" pivotButton="0" quotePrefix="0" xfId="16">
      <alignment horizontal="center"/>
    </xf>
    <xf numFmtId="0" fontId="31" fillId="0" borderId="8" applyAlignment="1" pivotButton="0" quotePrefix="0" xfId="16">
      <alignment horizontal="center"/>
    </xf>
    <xf numFmtId="0" fontId="29" fillId="0" borderId="14" applyAlignment="1" pivotButton="0" quotePrefix="0" xfId="16">
      <alignment horizontal="center" vertical="center" wrapText="1"/>
    </xf>
    <xf numFmtId="0" fontId="29" fillId="0" borderId="15" applyAlignment="1" pivotButton="0" quotePrefix="0" xfId="16">
      <alignment horizontal="center" vertical="center" wrapText="1"/>
    </xf>
    <xf numFmtId="0" fontId="29" fillId="0" borderId="7" applyAlignment="1" pivotButton="0" quotePrefix="0" xfId="16">
      <alignment horizontal="center" vertical="center" wrapText="1"/>
    </xf>
    <xf numFmtId="0" fontId="2" fillId="12" borderId="7" applyAlignment="1" pivotButton="0" quotePrefix="0" xfId="16">
      <alignment horizontal="center" vertical="center" wrapText="1"/>
    </xf>
    <xf numFmtId="0" fontId="60" fillId="0" borderId="1" applyAlignment="1" pivotButton="0" quotePrefix="0" xfId="16">
      <alignment horizontal="center"/>
    </xf>
    <xf numFmtId="0" fontId="6" fillId="0" borderId="1" applyAlignment="1" pivotButton="0" quotePrefix="0" xfId="16">
      <alignment horizontal="center"/>
    </xf>
    <xf numFmtId="167" fontId="6" fillId="0" borderId="1" applyAlignment="1" pivotButton="0" quotePrefix="0" xfId="16">
      <alignment horizontal="center" vertical="center"/>
    </xf>
    <xf numFmtId="0" fontId="71" fillId="0" borderId="55" applyAlignment="1" pivotButton="0" quotePrefix="0" xfId="0">
      <alignment horizontal="center" vertical="center" wrapText="1"/>
    </xf>
    <xf numFmtId="0" fontId="71" fillId="0" borderId="42" applyAlignment="1" pivotButton="0" quotePrefix="0" xfId="0">
      <alignment horizontal="center" vertical="center" wrapText="1"/>
    </xf>
    <xf numFmtId="0" fontId="71" fillId="0" borderId="51" applyAlignment="1" pivotButton="0" quotePrefix="0" xfId="0">
      <alignment horizontal="center" vertical="center" wrapText="1"/>
    </xf>
    <xf numFmtId="0" fontId="71" fillId="0" borderId="37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1" fillId="0" borderId="52" applyAlignment="1" pivotButton="0" quotePrefix="0" xfId="0">
      <alignment horizontal="center" vertical="center" wrapText="1"/>
    </xf>
    <xf numFmtId="0" fontId="2" fillId="0" borderId="0" applyAlignment="1" pivotButton="0" quotePrefix="0" xfId="16">
      <alignment horizontal="right"/>
    </xf>
    <xf numFmtId="0" fontId="4" fillId="0" borderId="0" applyAlignment="1" pivotButton="0" quotePrefix="0" xfId="0">
      <alignment horizontal="center"/>
    </xf>
    <xf numFmtId="2" fontId="2" fillId="0" borderId="20" applyAlignment="1" pivotButton="0" quotePrefix="0" xfId="0">
      <alignment horizontal="center" vertical="center" textRotation="90" wrapText="1"/>
    </xf>
    <xf numFmtId="2" fontId="2" fillId="0" borderId="19" applyAlignment="1" pivotButton="0" quotePrefix="0" xfId="0">
      <alignment horizontal="center" vertical="center" textRotation="90" wrapText="1"/>
    </xf>
    <xf numFmtId="0" fontId="2" fillId="3" borderId="20" applyAlignment="1" pivotButton="0" quotePrefix="0" xfId="0">
      <alignment horizontal="center" vertical="center" textRotation="90" wrapText="1"/>
    </xf>
    <xf numFmtId="0" fontId="2" fillId="3" borderId="19" applyAlignment="1" pivotButton="0" quotePrefix="0" xfId="0">
      <alignment horizontal="center" vertical="center" textRotation="90" wrapText="1"/>
    </xf>
    <xf numFmtId="0" fontId="2" fillId="18" borderId="20" applyAlignment="1" pivotButton="0" quotePrefix="0" xfId="0">
      <alignment horizontal="center" vertical="center" textRotation="90" wrapText="1"/>
    </xf>
    <xf numFmtId="0" fontId="2" fillId="18" borderId="19" applyAlignment="1" pivotButton="0" quotePrefix="0" xfId="0">
      <alignment horizontal="center" vertical="center" textRotation="90" wrapText="1"/>
    </xf>
    <xf numFmtId="0" fontId="2" fillId="6" borderId="20" applyAlignment="1" pivotButton="0" quotePrefix="0" xfId="0">
      <alignment horizontal="center" vertical="center" textRotation="90" wrapText="1"/>
    </xf>
    <xf numFmtId="0" fontId="2" fillId="6" borderId="19" applyAlignment="1" pivotButton="0" quotePrefix="0" xfId="0">
      <alignment horizontal="center" vertical="center" textRotation="90" wrapText="1"/>
    </xf>
    <xf numFmtId="0" fontId="2" fillId="9" borderId="1" applyAlignment="1" pivotButton="0" quotePrefix="0" xfId="0">
      <alignment horizontal="center" vertical="center" textRotation="90" wrapText="1"/>
    </xf>
    <xf numFmtId="0" fontId="62" fillId="7" borderId="20" applyAlignment="1" pivotButton="0" quotePrefix="0" xfId="0">
      <alignment horizontal="center" vertical="center" textRotation="90" wrapText="1"/>
    </xf>
    <xf numFmtId="0" fontId="62" fillId="7" borderId="19" applyAlignment="1" pivotButton="0" quotePrefix="0" xfId="0">
      <alignment horizontal="center" vertical="center" textRotation="90" wrapText="1"/>
    </xf>
    <xf numFmtId="0" fontId="2" fillId="9" borderId="20" applyAlignment="1" pivotButton="0" quotePrefix="0" xfId="0">
      <alignment horizontal="center" vertical="center" textRotation="90" wrapText="1"/>
    </xf>
    <xf numFmtId="0" fontId="2" fillId="9" borderId="19" applyAlignment="1" pivotButton="0" quotePrefix="0" xfId="0">
      <alignment horizontal="center" vertical="center" textRotation="90" wrapText="1"/>
    </xf>
    <xf numFmtId="0" fontId="19" fillId="9" borderId="20" applyAlignment="1" pivotButton="0" quotePrefix="0" xfId="0">
      <alignment horizontal="center" vertical="center" textRotation="90" wrapText="1"/>
    </xf>
    <xf numFmtId="0" fontId="19" fillId="9" borderId="19" applyAlignment="1" pivotButton="0" quotePrefix="0" xfId="0">
      <alignment horizontal="center" vertical="center" textRotation="90" wrapText="1"/>
    </xf>
    <xf numFmtId="0" fontId="2" fillId="9" borderId="20" applyAlignment="1" pivotButton="0" quotePrefix="0" xfId="0">
      <alignment horizontal="center" vertical="center" textRotation="90"/>
    </xf>
    <xf numFmtId="0" fontId="2" fillId="9" borderId="19" applyAlignment="1" pivotButton="0" quotePrefix="0" xfId="0">
      <alignment horizontal="center" vertical="center" textRotation="90"/>
    </xf>
    <xf numFmtId="2" fontId="2" fillId="12" borderId="20" applyAlignment="1" pivotButton="0" quotePrefix="0" xfId="0">
      <alignment horizontal="center" vertical="center" textRotation="90" wrapText="1"/>
    </xf>
    <xf numFmtId="2" fontId="2" fillId="12" borderId="19" applyAlignment="1" pivotButton="0" quotePrefix="0" xfId="0">
      <alignment horizontal="center" vertical="center" textRotation="90" wrapText="1"/>
    </xf>
    <xf numFmtId="0" fontId="2" fillId="5" borderId="14" applyAlignment="1" pivotButton="0" quotePrefix="0" xfId="0">
      <alignment horizontal="center" vertical="center" wrapText="1"/>
    </xf>
    <xf numFmtId="0" fontId="2" fillId="5" borderId="15" applyAlignment="1" pivotButton="0" quotePrefix="0" xfId="0">
      <alignment horizontal="center" vertical="center" wrapText="1"/>
    </xf>
    <xf numFmtId="0" fontId="2" fillId="5" borderId="7" applyAlignment="1" pivotButton="0" quotePrefix="0" xfId="0">
      <alignment horizontal="center" vertical="center" wrapText="1"/>
    </xf>
    <xf numFmtId="0" fontId="5" fillId="2" borderId="65" applyAlignment="1" pivotButton="0" quotePrefix="0" xfId="0">
      <alignment horizontal="center" vertical="center"/>
    </xf>
    <xf numFmtId="0" fontId="5" fillId="2" borderId="67" applyAlignment="1" pivotButton="0" quotePrefix="0" xfId="0">
      <alignment horizontal="center" vertical="center"/>
    </xf>
    <xf numFmtId="0" fontId="5" fillId="2" borderId="66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 wrapText="1"/>
    </xf>
    <xf numFmtId="0" fontId="2" fillId="5" borderId="24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 wrapText="1"/>
    </xf>
    <xf numFmtId="0" fontId="2" fillId="3" borderId="24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center" vertical="center" wrapText="1"/>
    </xf>
    <xf numFmtId="0" fontId="2" fillId="3" borderId="10" applyAlignment="1" pivotButton="0" quotePrefix="0" xfId="0">
      <alignment horizontal="center" vertical="center" wrapText="1"/>
    </xf>
    <xf numFmtId="166" fontId="5" fillId="10" borderId="28" applyAlignment="1" pivotButton="0" quotePrefix="0" xfId="0">
      <alignment horizontal="center"/>
    </xf>
    <xf numFmtId="0" fontId="5" fillId="10" borderId="68" applyAlignment="1" pivotButton="0" quotePrefix="0" xfId="0">
      <alignment horizontal="center"/>
    </xf>
    <xf numFmtId="166" fontId="5" fillId="10" borderId="69" applyAlignment="1" pivotButton="0" quotePrefix="0" xfId="0">
      <alignment horizontal="center"/>
    </xf>
    <xf numFmtId="0" fontId="5" fillId="10" borderId="70" applyAlignment="1" pivotButton="0" quotePrefix="0" xfId="0">
      <alignment horizontal="center"/>
    </xf>
    <xf numFmtId="166" fontId="5" fillId="10" borderId="71" applyAlignment="1" pivotButton="0" quotePrefix="0" xfId="0">
      <alignment horizontal="center"/>
    </xf>
    <xf numFmtId="0" fontId="5" fillId="10" borderId="72" applyAlignment="1" pivotButton="0" quotePrefix="0" xfId="0">
      <alignment horizontal="center"/>
    </xf>
    <xf numFmtId="164" fontId="0" fillId="2" borderId="0" applyAlignment="1" pivotButton="0" quotePrefix="0" xfId="6">
      <alignment horizontal="center" vertical="center"/>
    </xf>
    <xf numFmtId="0" fontId="5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6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4" fillId="0" borderId="1" applyAlignment="1" pivotButton="0" quotePrefix="0" xfId="6">
      <alignment horizontal="center"/>
    </xf>
    <xf numFmtId="0" fontId="6" fillId="2" borderId="13" applyAlignment="1" pivotButton="0" quotePrefix="0" xfId="0">
      <alignment horizont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73" applyAlignment="1" pivotButton="0" quotePrefix="0" xfId="0">
      <alignment horizontal="center" vertical="center"/>
    </xf>
    <xf numFmtId="166" fontId="39" fillId="12" borderId="74" applyAlignment="1" pivotButton="0" quotePrefix="0" xfId="0">
      <alignment horizontal="center"/>
    </xf>
    <xf numFmtId="166" fontId="39" fillId="12" borderId="7" applyAlignment="1" pivotButton="0" quotePrefix="0" xfId="0">
      <alignment horizontal="center"/>
    </xf>
    <xf numFmtId="0" fontId="2" fillId="0" borderId="4" applyAlignment="1" pivotButton="0" quotePrefix="0" xfId="0">
      <alignment horizontal="left"/>
    </xf>
    <xf numFmtId="0" fontId="2" fillId="0" borderId="2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4" fillId="2" borderId="75" applyAlignment="1" pivotButton="0" quotePrefix="0" xfId="0">
      <alignment horizontal="center" vertical="center" wrapText="1"/>
    </xf>
    <xf numFmtId="0" fontId="4" fillId="2" borderId="76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2" borderId="73" applyAlignment="1" pivotButton="0" quotePrefix="0" xfId="0">
      <alignment horizontal="center" vertical="center" wrapText="1"/>
    </xf>
    <xf numFmtId="0" fontId="5" fillId="2" borderId="77" applyAlignment="1" pivotButton="0" quotePrefix="0" xfId="0">
      <alignment horizontal="center" vertical="center" wrapText="1"/>
    </xf>
    <xf numFmtId="0" fontId="5" fillId="2" borderId="5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/>
    </xf>
    <xf numFmtId="0" fontId="0" fillId="2" borderId="53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3" pivotButton="0" quotePrefix="0" xfId="0"/>
    <xf numFmtId="0" fontId="4" fillId="9" borderId="1" applyAlignment="1" pivotButton="0" quotePrefix="0" xfId="0">
      <alignment horizontal="left"/>
    </xf>
    <xf numFmtId="0" fontId="0" fillId="0" borderId="52" pivotButton="0" quotePrefix="0" xfId="0"/>
    <xf numFmtId="15" fontId="4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left"/>
    </xf>
    <xf numFmtId="0" fontId="0" fillId="9" borderId="1" applyAlignment="1" pivotButton="0" quotePrefix="0" xfId="0">
      <alignment horizontal="justify" vertical="top"/>
    </xf>
    <xf numFmtId="0" fontId="0" fillId="0" borderId="51" pivotButton="0" quotePrefix="0" xfId="0"/>
    <xf numFmtId="0" fontId="0" fillId="0" borderId="37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9" borderId="1" applyAlignment="1" pivotButton="0" quotePrefix="0" xfId="0">
      <alignment vertical="center" wrapText="1"/>
    </xf>
    <xf numFmtId="176" fontId="5" fillId="8" borderId="1" applyAlignment="1" pivotButton="0" quotePrefix="0" xfId="0">
      <alignment horizontal="center" vertical="center"/>
    </xf>
    <xf numFmtId="0" fontId="46" fillId="9" borderId="1" applyAlignment="1" pivotButton="0" quotePrefix="0" xfId="0">
      <alignment horizontal="center" vertical="center"/>
    </xf>
    <xf numFmtId="176" fontId="5" fillId="6" borderId="1" applyAlignment="1" pivotButton="0" quotePrefix="0" xfId="0">
      <alignment horizontal="center" vertical="center"/>
    </xf>
    <xf numFmtId="164" fontId="0" fillId="0" borderId="0" pivotButton="0" quotePrefix="0" xfId="6"/>
    <xf numFmtId="3" fontId="59" fillId="7" borderId="1" applyAlignment="1" pivotButton="0" quotePrefix="0" xfId="0">
      <alignment horizontal="center" vertical="center"/>
    </xf>
    <xf numFmtId="176" fontId="63" fillId="7" borderId="1" applyAlignment="1" pivotButton="0" quotePrefix="0" xfId="0">
      <alignment horizontal="center" vertical="center"/>
    </xf>
    <xf numFmtId="0" fontId="0" fillId="0" borderId="58" pivotButton="0" quotePrefix="0" xfId="0"/>
    <xf numFmtId="0" fontId="40" fillId="6" borderId="78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61" pivotButton="0" quotePrefix="0" xfId="0"/>
    <xf numFmtId="0" fontId="6" fillId="6" borderId="27" applyAlignment="1" pivotButton="0" quotePrefix="0" xfId="0">
      <alignment horizontal="center" vertical="center" wrapText="1"/>
    </xf>
    <xf numFmtId="0" fontId="0" fillId="0" borderId="59" pivotButton="0" quotePrefix="0" xfId="0"/>
    <xf numFmtId="0" fontId="4" fillId="6" borderId="27" applyAlignment="1" pivotButton="0" quotePrefix="0" xfId="0">
      <alignment horizontal="center" vertical="center" wrapText="1"/>
    </xf>
    <xf numFmtId="0" fontId="4" fillId="6" borderId="79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63" pivotButton="0" quotePrefix="0" xfId="0"/>
    <xf numFmtId="164" fontId="25" fillId="0" borderId="0" applyAlignment="1" pivotButton="0" quotePrefix="0" xfId="6">
      <alignment vertical="center"/>
    </xf>
    <xf numFmtId="169" fontId="0" fillId="0" borderId="23" applyAlignment="1" pivotButton="0" quotePrefix="0" xfId="3">
      <alignment horizontal="center" vertical="center"/>
    </xf>
    <xf numFmtId="170" fontId="0" fillId="0" borderId="0" applyAlignment="1" pivotButton="0" quotePrefix="0" xfId="0">
      <alignment vertical="center"/>
    </xf>
    <xf numFmtId="181" fontId="4" fillId="0" borderId="1" applyAlignment="1" pivotButton="0" quotePrefix="0" xfId="18">
      <alignment horizontal="center" vertical="center"/>
    </xf>
    <xf numFmtId="43" fontId="25" fillId="0" borderId="0" applyAlignment="1" pivotButton="0" quotePrefix="0" xfId="3">
      <alignment vertical="center"/>
    </xf>
    <xf numFmtId="171" fontId="0" fillId="0" borderId="0" applyAlignment="1" pivotButton="0" quotePrefix="0" xfId="3">
      <alignment horizontal="center" vertical="center"/>
    </xf>
    <xf numFmtId="16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78" fillId="8" borderId="1" applyAlignment="1" pivotButton="0" quotePrefix="0" xfId="6">
      <alignment vertical="center"/>
    </xf>
    <xf numFmtId="169" fontId="14" fillId="0" borderId="23" applyAlignment="1" pivotButton="0" quotePrefix="0" xfId="3">
      <alignment horizontal="center" vertical="center"/>
    </xf>
    <xf numFmtId="181" fontId="37" fillId="0" borderId="0" applyAlignment="1" pivotButton="0" quotePrefix="0" xfId="0">
      <alignment horizontal="center" vertical="center"/>
    </xf>
    <xf numFmtId="43" fontId="21" fillId="0" borderId="0" applyAlignment="1" pivotButton="0" quotePrefix="0" xfId="3">
      <alignment vertical="center"/>
    </xf>
    <xf numFmtId="172" fontId="0" fillId="0" borderId="23" applyAlignment="1" pivotButton="0" quotePrefix="0" xfId="0">
      <alignment horizontal="center" vertical="center"/>
    </xf>
    <xf numFmtId="164" fontId="66" fillId="0" borderId="0" applyAlignment="1" pivotButton="0" quotePrefix="0" xfId="6">
      <alignment vertical="center"/>
    </xf>
    <xf numFmtId="10" fontId="78" fillId="19" borderId="1" applyAlignment="1" pivotButton="0" quotePrefix="0" xfId="18">
      <alignment horizontal="center" vertical="center"/>
    </xf>
    <xf numFmtId="164" fontId="78" fillId="19" borderId="1" applyAlignment="1" pivotButton="0" quotePrefix="0" xfId="6">
      <alignment vertical="center"/>
    </xf>
    <xf numFmtId="3" fontId="62" fillId="7" borderId="1" applyAlignment="1" pivotButton="0" quotePrefix="0" xfId="0">
      <alignment horizontal="center" vertical="center"/>
    </xf>
    <xf numFmtId="173" fontId="76" fillId="7" borderId="1" applyAlignment="1" pivotButton="0" quotePrefix="0" xfId="0">
      <alignment horizontal="center" vertical="center"/>
    </xf>
    <xf numFmtId="164" fontId="68" fillId="15" borderId="1" applyAlignment="1" pivotButton="0" quotePrefix="0" xfId="6">
      <alignment vertical="center"/>
    </xf>
    <xf numFmtId="173" fontId="22" fillId="0" borderId="0" applyAlignment="1" pivotButton="0" quotePrefix="0" xfId="0">
      <alignment vertical="center"/>
    </xf>
    <xf numFmtId="164" fontId="22" fillId="0" borderId="0" applyAlignment="1" pivotButton="0" quotePrefix="0" xfId="6">
      <alignment vertical="center"/>
    </xf>
    <xf numFmtId="0" fontId="0" fillId="0" borderId="52" applyProtection="1" pivotButton="0" quotePrefix="0" xfId="0">
      <protection locked="0" hidden="0"/>
    </xf>
    <xf numFmtId="164" fontId="25" fillId="11" borderId="1" applyAlignment="1" pivotButton="0" quotePrefix="0" xfId="6">
      <alignment vertical="center"/>
    </xf>
    <xf numFmtId="164" fontId="21" fillId="0" borderId="0" applyAlignment="1" pivotButton="0" quotePrefix="0" xfId="6">
      <alignment vertical="center"/>
    </xf>
    <xf numFmtId="164" fontId="35" fillId="11" borderId="1" applyAlignment="1" pivotButton="0" quotePrefix="0" xfId="6">
      <alignment vertical="center"/>
    </xf>
    <xf numFmtId="164" fontId="59" fillId="15" borderId="1" applyAlignment="1" pivotButton="0" quotePrefix="0" xfId="6">
      <alignment vertical="center"/>
    </xf>
    <xf numFmtId="164" fontId="25" fillId="0" borderId="0" applyAlignment="1" pivotButton="0" quotePrefix="0" xfId="6">
      <alignment vertical="center" wrapText="1"/>
    </xf>
    <xf numFmtId="164" fontId="36" fillId="14" borderId="1" applyAlignment="1" pivotButton="0" quotePrefix="0" xfId="6">
      <alignment vertical="center" wrapText="1"/>
    </xf>
    <xf numFmtId="176" fontId="79" fillId="14" borderId="1" applyAlignment="1" pivotButton="0" quotePrefix="0" xfId="6">
      <alignment horizontal="center" vertical="center" wrapText="1"/>
    </xf>
    <xf numFmtId="164" fontId="25" fillId="0" borderId="1" applyAlignment="1" pivotButton="0" quotePrefix="0" xfId="6">
      <alignment vertical="center" wrapText="1"/>
    </xf>
    <xf numFmtId="164" fontId="21" fillId="0" borderId="0" applyAlignment="1" pivotButton="0" quotePrefix="0" xfId="6">
      <alignment vertical="center" wrapText="1"/>
    </xf>
    <xf numFmtId="164" fontId="59" fillId="15" borderId="0" applyAlignment="1" pivotButton="0" quotePrefix="0" xfId="6">
      <alignment vertical="center"/>
    </xf>
    <xf numFmtId="164" fontId="25" fillId="0" borderId="10" pivotButton="0" quotePrefix="0" xfId="6"/>
    <xf numFmtId="164" fontId="25" fillId="0" borderId="1" applyAlignment="1" pivotButton="0" quotePrefix="0" xfId="6">
      <alignment vertical="center"/>
    </xf>
    <xf numFmtId="164" fontId="62" fillId="16" borderId="1" applyAlignment="1" pivotButton="0" quotePrefix="0" xfId="6">
      <alignment vertical="center" wrapText="1"/>
    </xf>
    <xf numFmtId="164" fontId="35" fillId="6" borderId="1" applyAlignment="1" pivotButton="0" quotePrefix="0" xfId="6">
      <alignment vertical="center" wrapText="1"/>
    </xf>
    <xf numFmtId="164" fontId="35" fillId="0" borderId="0" applyAlignment="1" pivotButton="0" quotePrefix="0" xfId="6">
      <alignment vertical="center" wrapText="1"/>
    </xf>
    <xf numFmtId="175" fontId="2" fillId="0" borderId="0" applyAlignment="1" pivotButton="0" quotePrefix="0" xfId="0">
      <alignment vertical="center" wrapText="1"/>
    </xf>
    <xf numFmtId="43" fontId="4" fillId="0" borderId="0" pivotButton="0" quotePrefix="0" xfId="3"/>
    <xf numFmtId="174" fontId="0" fillId="0" borderId="31" applyAlignment="1" pivotButton="0" quotePrefix="0" xfId="0">
      <alignment horizontal="left"/>
    </xf>
    <xf numFmtId="174" fontId="0" fillId="0" borderId="0" applyAlignment="1" pivotButton="0" quotePrefix="0" xfId="0">
      <alignment horizontal="left"/>
    </xf>
    <xf numFmtId="174" fontId="0" fillId="0" borderId="0" applyAlignment="1" pivotButton="0" quotePrefix="0" xfId="0">
      <alignment horizontal="center"/>
    </xf>
    <xf numFmtId="0" fontId="43" fillId="2" borderId="18" applyAlignment="1" pivotButton="0" quotePrefix="0" xfId="0">
      <alignment horizontal="center" vertical="center"/>
    </xf>
    <xf numFmtId="0" fontId="0" fillId="0" borderId="15" pivotButton="0" quotePrefix="0" xfId="0"/>
    <xf numFmtId="187" fontId="0" fillId="0" borderId="0" pivotButton="0" quotePrefix="0" xfId="0"/>
    <xf numFmtId="165" fontId="1" fillId="0" borderId="0" pivotButton="0" quotePrefix="0" xfId="0"/>
    <xf numFmtId="164" fontId="1" fillId="0" borderId="0" pivotButton="0" quotePrefix="0" xfId="6"/>
    <xf numFmtId="0" fontId="0" fillId="0" borderId="80" pivotButton="0" quotePrefix="0" xfId="0"/>
    <xf numFmtId="0" fontId="0" fillId="0" borderId="81" pivotButton="0" quotePrefix="0" xfId="0"/>
    <xf numFmtId="177" fontId="0" fillId="8" borderId="44" applyAlignment="1" pivotButton="0" quotePrefix="0" xfId="0">
      <alignment horizontal="center" vertical="center" wrapText="1"/>
    </xf>
    <xf numFmtId="189" fontId="4" fillId="0" borderId="0" applyAlignment="1" pivotButton="0" quotePrefix="0" xfId="0">
      <alignment horizontal="center"/>
    </xf>
    <xf numFmtId="0" fontId="0" fillId="2" borderId="18" applyAlignment="1" pivotButton="0" quotePrefix="0" xfId="0">
      <alignment horizontal="center" vertical="center" wrapText="1"/>
    </xf>
    <xf numFmtId="176" fontId="5" fillId="12" borderId="18" applyAlignment="1" pivotButton="0" quotePrefix="0" xfId="0">
      <alignment vertical="center" wrapText="1"/>
    </xf>
    <xf numFmtId="165" fontId="56" fillId="4" borderId="18" applyAlignment="1" pivotButton="0" quotePrefix="0" xfId="0">
      <alignment horizontal="center" vertical="center" wrapText="1"/>
    </xf>
    <xf numFmtId="164" fontId="42" fillId="0" borderId="0" applyAlignment="1" pivotButton="0" quotePrefix="0" xfId="6">
      <alignment horizontal="center" vertical="center" wrapText="1"/>
    </xf>
    <xf numFmtId="165" fontId="56" fillId="4" borderId="0" applyAlignment="1" pivotButton="0" quotePrefix="0" xfId="0">
      <alignment horizontal="center" vertical="center" wrapText="1"/>
    </xf>
    <xf numFmtId="10" fontId="69" fillId="7" borderId="18" applyAlignment="1" pivotButton="0" quotePrefix="0" xfId="0">
      <alignment horizontal="center" vertical="center" wrapText="1"/>
    </xf>
    <xf numFmtId="166" fontId="2" fillId="6" borderId="18" applyAlignment="1" pivotButton="0" quotePrefix="0" xfId="0">
      <alignment horizontal="center" vertical="center" wrapText="1"/>
    </xf>
    <xf numFmtId="167" fontId="2" fillId="6" borderId="18" applyAlignment="1" pivotButton="0" quotePrefix="0" xfId="0">
      <alignment horizontal="center" vertical="center" wrapText="1"/>
    </xf>
    <xf numFmtId="166" fontId="2" fillId="3" borderId="18" applyAlignment="1" pivotButton="0" quotePrefix="0" xfId="0">
      <alignment horizontal="center" vertical="center" wrapText="1"/>
    </xf>
    <xf numFmtId="166" fontId="2" fillId="4" borderId="18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165" fontId="0" fillId="0" borderId="0" pivotButton="0" quotePrefix="0" xfId="0"/>
    <xf numFmtId="166" fontId="2" fillId="0" borderId="0" applyAlignment="1" pivotButton="0" quotePrefix="0" xfId="0">
      <alignment horizontal="center" vertical="center" wrapText="1"/>
    </xf>
    <xf numFmtId="165" fontId="0" fillId="0" borderId="1" pivotButton="0" quotePrefix="0" xfId="0"/>
    <xf numFmtId="164" fontId="1" fillId="0" borderId="1" pivotButton="0" quotePrefix="0" xfId="6"/>
    <xf numFmtId="0" fontId="2" fillId="3" borderId="18" applyAlignment="1" pivotButton="0" quotePrefix="0" xfId="0">
      <alignment horizontal="center" vertical="center"/>
    </xf>
    <xf numFmtId="168" fontId="39" fillId="3" borderId="18" applyAlignment="1" pivotButton="0" quotePrefix="0" xfId="0">
      <alignment horizontal="left" vertical="center"/>
    </xf>
    <xf numFmtId="165" fontId="68" fillId="7" borderId="18" applyAlignment="1" pivotButton="0" quotePrefix="0" xfId="0">
      <alignment horizontal="center"/>
    </xf>
    <xf numFmtId="186" fontId="0" fillId="0" borderId="1" pivotButton="0" quotePrefix="0" xfId="0"/>
    <xf numFmtId="164" fontId="0" fillId="0" borderId="1" pivotButton="0" quotePrefix="0" xfId="6"/>
    <xf numFmtId="164" fontId="0" fillId="0" borderId="1" pivotButton="0" quotePrefix="0" xfId="0"/>
    <xf numFmtId="187" fontId="0" fillId="0" borderId="1" pivotButton="0" quotePrefix="0" xfId="0"/>
    <xf numFmtId="189" fontId="1" fillId="0" borderId="0" pivotButton="0" quotePrefix="0" xfId="0"/>
    <xf numFmtId="189" fontId="0" fillId="0" borderId="0" pivotButton="0" quotePrefix="0" xfId="0"/>
    <xf numFmtId="165" fontId="2" fillId="0" borderId="0" applyAlignment="1" pivotButton="0" quotePrefix="0" xfId="0">
      <alignment horizontal="center"/>
    </xf>
    <xf numFmtId="191" fontId="0" fillId="0" borderId="0" pivotButton="0" quotePrefix="0" xfId="6"/>
    <xf numFmtId="166" fontId="4" fillId="2" borderId="1" pivotButton="0" quotePrefix="0" xfId="0"/>
    <xf numFmtId="165" fontId="18" fillId="4" borderId="18" applyAlignment="1" pivotButton="0" quotePrefix="0" xfId="7">
      <alignment horizontal="center"/>
    </xf>
    <xf numFmtId="187" fontId="1" fillId="0" borderId="0" pivotButton="0" quotePrefix="0" xfId="0"/>
    <xf numFmtId="166" fontId="0" fillId="12" borderId="1" pivotButton="0" quotePrefix="0" xfId="0"/>
    <xf numFmtId="165" fontId="4" fillId="4" borderId="19" applyAlignment="1" pivotButton="0" quotePrefix="0" xfId="7">
      <alignment horizontal="center"/>
    </xf>
    <xf numFmtId="192" fontId="0" fillId="0" borderId="0" pivotButton="0" quotePrefix="0" xfId="0"/>
    <xf numFmtId="193" fontId="0" fillId="0" borderId="0" applyAlignment="1" pivotButton="0" quotePrefix="0" xfId="0">
      <alignment horizontal="center"/>
    </xf>
    <xf numFmtId="188" fontId="0" fillId="0" borderId="0" pivotButton="0" quotePrefix="0" xfId="0"/>
    <xf numFmtId="166" fontId="0" fillId="0" borderId="22" pivotButton="0" quotePrefix="0" xfId="0"/>
    <xf numFmtId="165" fontId="2" fillId="0" borderId="0" applyAlignment="1" pivotButton="0" quotePrefix="0" xfId="7">
      <alignment horizontal="center"/>
    </xf>
    <xf numFmtId="164" fontId="3" fillId="2" borderId="3" applyAlignment="1" pivotButton="0" quotePrefix="0" xfId="6">
      <alignment horizontal="left"/>
    </xf>
    <xf numFmtId="164" fontId="1" fillId="2" borderId="3" applyAlignment="1" pivotButton="0" quotePrefix="0" xfId="6">
      <alignment horizontal="center" vertical="center"/>
    </xf>
    <xf numFmtId="166" fontId="4" fillId="0" borderId="1" pivotButton="0" quotePrefix="0" xfId="0"/>
    <xf numFmtId="165" fontId="4" fillId="4" borderId="18" applyAlignment="1" pivotButton="0" quotePrefix="0" xfId="7">
      <alignment horizontal="center"/>
    </xf>
    <xf numFmtId="164" fontId="4" fillId="0" borderId="0" pivotButton="0" quotePrefix="0" xfId="6"/>
    <xf numFmtId="186" fontId="0" fillId="0" borderId="0" applyAlignment="1" pivotButton="0" quotePrefix="0" xfId="0">
      <alignment horizontal="center"/>
    </xf>
    <xf numFmtId="165" fontId="4" fillId="0" borderId="0" applyAlignment="1" pivotButton="0" quotePrefix="0" xfId="7">
      <alignment horizontal="center"/>
    </xf>
    <xf numFmtId="181" fontId="1" fillId="2" borderId="3" applyAlignment="1" pivotButton="0" quotePrefix="0" xfId="0">
      <alignment horizontal="center" vertical="center"/>
    </xf>
    <xf numFmtId="165" fontId="0" fillId="2" borderId="0" pivotButton="0" quotePrefix="0" xfId="0"/>
    <xf numFmtId="166" fontId="0" fillId="0" borderId="0" pivotButton="0" quotePrefix="0" xfId="0"/>
    <xf numFmtId="0" fontId="0" fillId="2" borderId="1" applyAlignment="1" pivotButton="0" quotePrefix="0" xfId="0">
      <alignment horizontal="center"/>
    </xf>
    <xf numFmtId="193" fontId="0" fillId="0" borderId="1" pivotButton="0" quotePrefix="0" xfId="0"/>
    <xf numFmtId="193" fontId="0" fillId="0" borderId="0" pivotButton="0" quotePrefix="0" xfId="0"/>
    <xf numFmtId="179" fontId="2" fillId="6" borderId="18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/>
    </xf>
    <xf numFmtId="168" fontId="30" fillId="3" borderId="18" applyAlignment="1" pivotButton="0" quotePrefix="0" xfId="0">
      <alignment horizontal="left" vertical="center"/>
    </xf>
    <xf numFmtId="166" fontId="4" fillId="0" borderId="0" pivotButton="0" quotePrefix="0" xfId="0"/>
    <xf numFmtId="168" fontId="4" fillId="2" borderId="1" pivotButton="0" quotePrefix="0" xfId="0"/>
    <xf numFmtId="174" fontId="0" fillId="0" borderId="0" pivotButton="0" quotePrefix="0" xfId="0"/>
    <xf numFmtId="166" fontId="0" fillId="10" borderId="1" pivotButton="0" quotePrefix="0" xfId="0"/>
    <xf numFmtId="168" fontId="1" fillId="0" borderId="22" pivotButton="0" quotePrefix="0" xfId="0"/>
    <xf numFmtId="166" fontId="0" fillId="13" borderId="1" pivotButton="0" quotePrefix="0" xfId="0"/>
    <xf numFmtId="164" fontId="75" fillId="0" borderId="0" pivotButton="0" quotePrefix="0" xfId="0"/>
    <xf numFmtId="173" fontId="1" fillId="2" borderId="3" applyAlignment="1" pivotButton="0" quotePrefix="0" xfId="0">
      <alignment horizontal="center" vertical="center"/>
    </xf>
    <xf numFmtId="164" fontId="75" fillId="0" borderId="0" pivotButton="0" quotePrefix="0" xfId="6"/>
    <xf numFmtId="166" fontId="0" fillId="10" borderId="0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64" fontId="0" fillId="13" borderId="1" pivotButton="0" quotePrefix="0" xfId="6"/>
    <xf numFmtId="164" fontId="0" fillId="10" borderId="1" pivotButton="0" quotePrefix="0" xfId="0"/>
    <xf numFmtId="164" fontId="27" fillId="9" borderId="1" pivotButton="0" quotePrefix="0" xfId="0"/>
    <xf numFmtId="164" fontId="27" fillId="9" borderId="1" pivotButton="0" quotePrefix="0" xfId="6"/>
    <xf numFmtId="164" fontId="27" fillId="7" borderId="1" applyAlignment="1" pivotButton="0" quotePrefix="0" xfId="6">
      <alignment horizontal="center"/>
    </xf>
    <xf numFmtId="0" fontId="27" fillId="9" borderId="1" applyAlignment="1" pivotButton="0" quotePrefix="0" xfId="0">
      <alignment horizontal="right"/>
    </xf>
    <xf numFmtId="164" fontId="27" fillId="0" borderId="0" pivotButton="0" quotePrefix="0" xfId="6"/>
    <xf numFmtId="164" fontId="27" fillId="7" borderId="1" pivotButton="0" quotePrefix="0" xfId="6"/>
    <xf numFmtId="164" fontId="20" fillId="7" borderId="0" pivotButton="0" quotePrefix="0" xfId="6"/>
    <xf numFmtId="164" fontId="4" fillId="0" borderId="0" pivotButton="0" quotePrefix="0" xfId="0"/>
    <xf numFmtId="164" fontId="1" fillId="0" borderId="0" applyAlignment="1" pivotButton="0" quotePrefix="0" xfId="6">
      <alignment vertical="center" wrapText="1"/>
    </xf>
    <xf numFmtId="189" fontId="29" fillId="0" borderId="0" pivotButton="0" quotePrefix="0" xfId="16"/>
    <xf numFmtId="178" fontId="18" fillId="7" borderId="1" applyAlignment="1" pivotButton="0" quotePrefix="0" xfId="12">
      <alignment horizontal="center"/>
    </xf>
    <xf numFmtId="0" fontId="0" fillId="0" borderId="76" pivotButton="0" quotePrefix="0" xfId="0"/>
    <xf numFmtId="174" fontId="29" fillId="0" borderId="45" pivotButton="0" quotePrefix="0" xfId="16"/>
    <xf numFmtId="189" fontId="29" fillId="0" borderId="45" pivotButton="0" quotePrefix="0" xfId="16"/>
    <xf numFmtId="164" fontId="14" fillId="0" borderId="0" pivotButton="0" quotePrefix="0" xfId="6"/>
    <xf numFmtId="164" fontId="29" fillId="0" borderId="0" pivotButton="0" quotePrefix="0" xfId="16"/>
    <xf numFmtId="164" fontId="14" fillId="0" borderId="46" pivotButton="0" quotePrefix="0" xfId="6"/>
    <xf numFmtId="178" fontId="2" fillId="0" borderId="45" pivotButton="0" quotePrefix="0" xfId="12"/>
    <xf numFmtId="190" fontId="29" fillId="0" borderId="45" pivotButton="0" quotePrefix="0" xfId="16"/>
    <xf numFmtId="176" fontId="3" fillId="0" borderId="0" applyAlignment="1" pivotButton="0" quotePrefix="0" xfId="16">
      <alignment horizontal="center"/>
    </xf>
    <xf numFmtId="164" fontId="14" fillId="0" borderId="45" pivotButton="0" quotePrefix="0" xfId="6"/>
    <xf numFmtId="164" fontId="2" fillId="7" borderId="0" pivotButton="0" quotePrefix="0" xfId="11"/>
    <xf numFmtId="164" fontId="14" fillId="22" borderId="0" pivotButton="0" quotePrefix="0" xfId="6"/>
    <xf numFmtId="178" fontId="14" fillId="3" borderId="0" pivotButton="0" quotePrefix="0" xfId="12"/>
    <xf numFmtId="178" fontId="2" fillId="7" borderId="45" pivotButton="0" quotePrefix="0" xfId="12"/>
    <xf numFmtId="178" fontId="30" fillId="9" borderId="45" pivotButton="0" quotePrefix="0" xfId="12"/>
    <xf numFmtId="185" fontId="29" fillId="0" borderId="0" pivotButton="0" quotePrefix="0" xfId="16"/>
    <xf numFmtId="0" fontId="29" fillId="0" borderId="18" applyAlignment="1" pivotButton="0" quotePrefix="0" xfId="16">
      <alignment horizontal="center" vertical="center" wrapText="1"/>
    </xf>
    <xf numFmtId="0" fontId="2" fillId="12" borderId="18" applyAlignment="1" pivotButton="0" quotePrefix="0" xfId="16">
      <alignment horizontal="center" vertical="center" wrapText="1"/>
    </xf>
    <xf numFmtId="178" fontId="2" fillId="0" borderId="1" pivotButton="0" quotePrefix="0" xfId="12"/>
    <xf numFmtId="178" fontId="14" fillId="0" borderId="1" pivotButton="0" quotePrefix="0" xfId="12"/>
    <xf numFmtId="178" fontId="18" fillId="3" borderId="1" pivotButton="0" quotePrefix="0" xfId="16"/>
    <xf numFmtId="167" fontId="6" fillId="0" borderId="1" applyAlignment="1" pivotButton="0" quotePrefix="0" xfId="16">
      <alignment horizontal="center" vertical="center"/>
    </xf>
    <xf numFmtId="164" fontId="2" fillId="0" borderId="0" pivotButton="0" quotePrefix="0" xfId="6"/>
    <xf numFmtId="0" fontId="71" fillId="0" borderId="20" applyAlignment="1" pivotButton="0" quotePrefix="0" xfId="0">
      <alignment horizontal="center" vertical="center" wrapText="1"/>
    </xf>
    <xf numFmtId="176" fontId="44" fillId="0" borderId="1" applyAlignment="1" pivotButton="0" quotePrefix="0" xfId="0">
      <alignment horizontal="center"/>
    </xf>
    <xf numFmtId="176" fontId="44" fillId="7" borderId="1" applyAlignment="1" applyProtection="1" pivotButton="0" quotePrefix="0" xfId="0">
      <alignment horizontal="center"/>
      <protection locked="1" hidden="1"/>
    </xf>
    <xf numFmtId="176" fontId="29" fillId="0" borderId="0" pivotButton="0" quotePrefix="0" xfId="16"/>
    <xf numFmtId="174" fontId="2" fillId="0" borderId="0" pivotButton="0" quotePrefix="0" xfId="16"/>
    <xf numFmtId="174" fontId="18" fillId="0" borderId="0" pivotButton="0" quotePrefix="0" xfId="16"/>
    <xf numFmtId="2" fontId="2" fillId="0" borderId="1" applyAlignment="1" pivotButton="0" quotePrefix="0" xfId="0">
      <alignment horizontal="center" vertical="center" textRotation="90" wrapText="1"/>
    </xf>
    <xf numFmtId="0" fontId="2" fillId="3" borderId="1" applyAlignment="1" pivotButton="0" quotePrefix="0" xfId="0">
      <alignment horizontal="center" vertical="center" textRotation="90" wrapText="1"/>
    </xf>
    <xf numFmtId="0" fontId="2" fillId="6" borderId="1" applyAlignment="1" pivotButton="0" quotePrefix="0" xfId="0">
      <alignment horizontal="center" vertical="center" textRotation="90" wrapText="1"/>
    </xf>
    <xf numFmtId="0" fontId="2" fillId="18" borderId="1" applyAlignment="1" pivotButton="0" quotePrefix="0" xfId="0">
      <alignment horizontal="center" vertical="center" textRotation="90" wrapText="1"/>
    </xf>
    <xf numFmtId="2" fontId="2" fillId="12" borderId="1" applyAlignment="1" pivotButton="0" quotePrefix="0" xfId="0">
      <alignment horizontal="center" vertical="center" textRotation="90" wrapText="1"/>
    </xf>
    <xf numFmtId="0" fontId="19" fillId="9" borderId="1" applyAlignment="1" pivotButton="0" quotePrefix="0" xfId="0">
      <alignment horizontal="center" vertical="center" textRotation="90" wrapText="1"/>
    </xf>
    <xf numFmtId="0" fontId="62" fillId="7" borderId="1" applyAlignment="1" pivotButton="0" quotePrefix="0" xfId="0">
      <alignment horizontal="center" vertical="center" textRotation="90" wrapText="1"/>
    </xf>
    <xf numFmtId="0" fontId="0" fillId="0" borderId="19" pivotButton="0" quotePrefix="0" xfId="0"/>
    <xf numFmtId="164" fontId="2" fillId="7" borderId="1" applyAlignment="1" pivotButton="0" quotePrefix="0" xfId="6">
      <alignment horizontal="center" vertical="center" wrapText="1"/>
    </xf>
    <xf numFmtId="176" fontId="2" fillId="7" borderId="1" applyAlignment="1" pivotButton="0" quotePrefix="0" xfId="0">
      <alignment horizontal="center" vertical="center" wrapText="1"/>
    </xf>
    <xf numFmtId="176" fontId="2" fillId="3" borderId="1" applyAlignment="1" pivotButton="0" quotePrefix="0" xfId="0">
      <alignment vertical="center"/>
    </xf>
    <xf numFmtId="176" fontId="42" fillId="6" borderId="1" applyAlignment="1" pivotButton="0" quotePrefix="0" xfId="0">
      <alignment vertical="center"/>
    </xf>
    <xf numFmtId="176" fontId="2" fillId="18" borderId="1" applyAlignment="1" pivotButton="0" quotePrefix="0" xfId="0">
      <alignment vertical="center"/>
    </xf>
    <xf numFmtId="176" fontId="1" fillId="0" borderId="1" applyAlignment="1" pivotButton="0" quotePrefix="0" xfId="0">
      <alignment vertical="center"/>
    </xf>
    <xf numFmtId="176" fontId="2" fillId="12" borderId="1" applyAlignment="1" pivotButton="0" quotePrefix="0" xfId="0">
      <alignment vertical="center"/>
    </xf>
    <xf numFmtId="176" fontId="1" fillId="0" borderId="1" applyAlignment="1" pivotButton="0" quotePrefix="0" xfId="0">
      <alignment horizontal="center" vertical="center"/>
    </xf>
    <xf numFmtId="176" fontId="72" fillId="9" borderId="1" applyAlignment="1" pivotButton="0" quotePrefix="0" xfId="0">
      <alignment vertical="center"/>
    </xf>
    <xf numFmtId="176" fontId="2" fillId="0" borderId="1" applyAlignment="1" pivotButton="0" quotePrefix="0" xfId="0">
      <alignment horizontal="center" vertical="center"/>
    </xf>
    <xf numFmtId="180" fontId="59" fillId="7" borderId="1" applyAlignment="1" pivotButton="0" quotePrefix="0" xfId="0">
      <alignment horizontal="center" vertical="center"/>
    </xf>
    <xf numFmtId="176" fontId="14" fillId="0" borderId="0" applyAlignment="1" pivotButton="0" quotePrefix="0" xfId="0">
      <alignment vertical="center"/>
    </xf>
    <xf numFmtId="176" fontId="2" fillId="0" borderId="0" applyAlignment="1" pivotButton="0" quotePrefix="0" xfId="0">
      <alignment vertical="center"/>
    </xf>
    <xf numFmtId="176" fontId="2" fillId="0" borderId="0" pivotButton="0" quotePrefix="0" xfId="0"/>
    <xf numFmtId="164" fontId="0" fillId="0" borderId="0" pivotButton="0" quotePrefix="0" xfId="0"/>
    <xf numFmtId="176" fontId="42" fillId="0" borderId="0" applyAlignment="1" pivotButton="0" quotePrefix="0" xfId="0">
      <alignment vertical="center"/>
    </xf>
    <xf numFmtId="176" fontId="1" fillId="0" borderId="0" applyAlignment="1" pivotButton="0" quotePrefix="0" xfId="0">
      <alignment vertical="center"/>
    </xf>
    <xf numFmtId="176" fontId="1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vertical="center"/>
    </xf>
    <xf numFmtId="176" fontId="2" fillId="0" borderId="0" applyAlignment="1" pivotButton="0" quotePrefix="0" xfId="0">
      <alignment horizontal="center" vertical="center"/>
    </xf>
    <xf numFmtId="180" fontId="59" fillId="0" borderId="0" applyAlignment="1" pivotButton="0" quotePrefix="0" xfId="0">
      <alignment horizontal="center" vertical="center"/>
    </xf>
    <xf numFmtId="42" fontId="2" fillId="0" borderId="18" pivotButton="0" quotePrefix="0" xfId="7"/>
    <xf numFmtId="164" fontId="0" fillId="2" borderId="0" applyAlignment="1" pivotButton="0" quotePrefix="0" xfId="6">
      <alignment vertical="center"/>
    </xf>
    <xf numFmtId="0" fontId="5" fillId="2" borderId="71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6" pivotButton="0" quotePrefix="0" xfId="0"/>
    <xf numFmtId="168" fontId="1" fillId="13" borderId="1" applyAlignment="1" pivotButton="0" quotePrefix="0" xfId="0">
      <alignment horizontal="center" vertical="center"/>
    </xf>
    <xf numFmtId="166" fontId="12" fillId="10" borderId="1" applyAlignment="1" pivotButton="0" quotePrefix="0" xfId="0">
      <alignment horizontal="center" vertical="center"/>
    </xf>
    <xf numFmtId="168" fontId="5" fillId="5" borderId="28" applyAlignment="1" pivotButton="0" quotePrefix="0" xfId="0">
      <alignment horizontal="center"/>
    </xf>
    <xf numFmtId="168" fontId="0" fillId="13" borderId="1" applyAlignment="1" pivotButton="0" quotePrefix="0" xfId="0">
      <alignment horizontal="center" vertical="center"/>
    </xf>
    <xf numFmtId="166" fontId="12" fillId="10" borderId="16" applyAlignment="1" pivotButton="0" quotePrefix="0" xfId="0">
      <alignment horizontal="center" vertical="center"/>
    </xf>
    <xf numFmtId="168" fontId="0" fillId="13" borderId="1" applyAlignment="1" pivotButton="0" quotePrefix="0" xfId="0">
      <alignment vertical="center"/>
    </xf>
    <xf numFmtId="166" fontId="5" fillId="5" borderId="28" applyAlignment="1" pivotButton="0" quotePrefix="0" xfId="0">
      <alignment horizontal="center"/>
    </xf>
    <xf numFmtId="166" fontId="0" fillId="13" borderId="1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 wrapText="1"/>
    </xf>
    <xf numFmtId="166" fontId="5" fillId="5" borderId="18" applyAlignment="1" pivotButton="0" quotePrefix="0" xfId="0">
      <alignment horizontal="center"/>
    </xf>
    <xf numFmtId="0" fontId="5" fillId="2" borderId="18" applyAlignment="1" pivotButton="0" quotePrefix="0" xfId="0">
      <alignment horizontal="center" vertical="center" wrapText="1"/>
    </xf>
    <xf numFmtId="164" fontId="0" fillId="2" borderId="0" applyAlignment="1" pivotButton="0" quotePrefix="0" xfId="6">
      <alignment horizontal="center" vertical="center"/>
    </xf>
    <xf numFmtId="164" fontId="4" fillId="2" borderId="0" applyAlignment="1" pivotButton="0" quotePrefix="0" xfId="6">
      <alignment vertical="center"/>
    </xf>
    <xf numFmtId="164" fontId="27" fillId="2" borderId="0" applyAlignment="1" pivotButton="0" quotePrefix="0" xfId="6">
      <alignment horizontal="center" vertical="center"/>
    </xf>
    <xf numFmtId="166" fontId="0" fillId="13" borderId="20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 wrapText="1"/>
    </xf>
    <xf numFmtId="166" fontId="5" fillId="10" borderId="18" applyAlignment="1" pivotButton="0" quotePrefix="0" xfId="0">
      <alignment horizontal="center"/>
    </xf>
    <xf numFmtId="0" fontId="0" fillId="0" borderId="9" pivotButton="0" quotePrefix="0" xfId="0"/>
    <xf numFmtId="0" fontId="0" fillId="0" borderId="68" pivotButton="0" quotePrefix="0" xfId="0"/>
    <xf numFmtId="166" fontId="0" fillId="2" borderId="0" applyAlignment="1" pivotButton="0" quotePrefix="0" xfId="0">
      <alignment vertical="center"/>
    </xf>
    <xf numFmtId="168" fontId="0" fillId="13" borderId="20" applyAlignment="1" pivotButton="0" quotePrefix="0" xfId="0">
      <alignment vertical="center"/>
    </xf>
    <xf numFmtId="166" fontId="12" fillId="10" borderId="21" applyAlignment="1" pivotButton="0" quotePrefix="0" xfId="0">
      <alignment horizontal="center" vertical="center"/>
    </xf>
    <xf numFmtId="166" fontId="0" fillId="13" borderId="1" applyAlignment="1" pivotButton="0" quotePrefix="0" xfId="0">
      <alignment vertical="center"/>
    </xf>
    <xf numFmtId="166" fontId="5" fillId="10" borderId="71" applyAlignment="1" pivotButton="0" quotePrefix="0" xfId="0">
      <alignment horizontal="center"/>
    </xf>
    <xf numFmtId="0" fontId="0" fillId="0" borderId="84" pivotButton="0" quotePrefix="0" xfId="0"/>
    <xf numFmtId="168" fontId="0" fillId="13" borderId="20" applyAlignment="1" pivotButton="0" quotePrefix="0" xfId="0">
      <alignment horizontal="center" vertical="center"/>
    </xf>
    <xf numFmtId="168" fontId="12" fillId="10" borderId="16" applyAlignment="1" pivotButton="0" quotePrefix="0" xfId="0">
      <alignment horizontal="center" vertical="center"/>
    </xf>
    <xf numFmtId="166" fontId="5" fillId="10" borderId="54" applyAlignment="1" pivotButton="0" quotePrefix="0" xfId="0">
      <alignment horizontal="center"/>
    </xf>
    <xf numFmtId="0" fontId="0" fillId="0" borderId="70" pivotButton="0" quotePrefix="0" xfId="0"/>
    <xf numFmtId="164" fontId="4" fillId="0" borderId="1" applyAlignment="1" pivotButton="0" quotePrefix="0" xfId="6">
      <alignment horizontal="center"/>
    </xf>
    <xf numFmtId="183" fontId="11" fillId="0" borderId="0" pivotButton="0" quotePrefix="0" xfId="0"/>
    <xf numFmtId="164" fontId="8" fillId="0" borderId="0" applyAlignment="1" pivotButton="0" quotePrefix="0" xfId="6">
      <alignment horizontal="center"/>
    </xf>
    <xf numFmtId="164" fontId="5" fillId="0" borderId="0" applyAlignment="1" pivotButton="0" quotePrefix="0" xfId="6">
      <alignment horizontal="center" vertical="center" wrapText="1"/>
    </xf>
    <xf numFmtId="183" fontId="8" fillId="0" borderId="0" applyAlignment="1" pivotButton="0" quotePrefix="0" xfId="0">
      <alignment horizontal="center"/>
    </xf>
    <xf numFmtId="0" fontId="6" fillId="2" borderId="28" applyAlignment="1" pivotButton="0" quotePrefix="0" xfId="0">
      <alignment horizontal="center"/>
    </xf>
    <xf numFmtId="0" fontId="5" fillId="2" borderId="77" applyAlignment="1" pivotButton="0" quotePrefix="0" xfId="0">
      <alignment horizontal="center" vertical="center"/>
    </xf>
    <xf numFmtId="0" fontId="0" fillId="0" borderId="73" pivotButton="0" quotePrefix="0" xfId="0"/>
    <xf numFmtId="166" fontId="39" fillId="12" borderId="54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center"/>
    </xf>
    <xf numFmtId="182" fontId="14" fillId="0" borderId="1" applyAlignment="1" pivotButton="0" quotePrefix="0" xfId="6">
      <alignment vertical="center"/>
    </xf>
    <xf numFmtId="166" fontId="14" fillId="0" borderId="1" applyAlignment="1" pivotButton="0" quotePrefix="0" xfId="0">
      <alignment horizontal="center"/>
    </xf>
    <xf numFmtId="164" fontId="14" fillId="0" borderId="1" applyAlignment="1" pivotButton="0" quotePrefix="0" xfId="6">
      <alignment horizontal="center"/>
    </xf>
    <xf numFmtId="166" fontId="14" fillId="0" borderId="16" applyAlignment="1" pivotButton="0" quotePrefix="0" xfId="0">
      <alignment horizontal="center"/>
    </xf>
    <xf numFmtId="166" fontId="0" fillId="2" borderId="0" pivotButton="0" quotePrefix="0" xfId="0"/>
    <xf numFmtId="166" fontId="2" fillId="0" borderId="1" pivotButton="0" quotePrefix="0" xfId="0"/>
    <xf numFmtId="182" fontId="14" fillId="0" borderId="1" applyAlignment="1" pivotButton="0" quotePrefix="0" xfId="6">
      <alignment horizontal="center" vertical="center"/>
    </xf>
    <xf numFmtId="182" fontId="14" fillId="0" borderId="0" applyAlignment="1" pivotButton="0" quotePrefix="0" xfId="6">
      <alignment horizontal="center" vertical="center"/>
    </xf>
    <xf numFmtId="182" fontId="4" fillId="2" borderId="0" pivotButton="0" quotePrefix="0" xfId="0"/>
    <xf numFmtId="182" fontId="58" fillId="0" borderId="0" applyAlignment="1" pivotButton="0" quotePrefix="0" xfId="6">
      <alignment horizontal="center" vertical="center"/>
    </xf>
    <xf numFmtId="164" fontId="2" fillId="2" borderId="0" pivotButton="0" quotePrefix="0" xfId="6"/>
    <xf numFmtId="182" fontId="14" fillId="0" borderId="20" applyAlignment="1" pivotButton="0" quotePrefix="0" xfId="6">
      <alignment horizontal="center" vertical="center"/>
    </xf>
    <xf numFmtId="166" fontId="14" fillId="0" borderId="20" applyAlignment="1" pivotButton="0" quotePrefix="0" xfId="0">
      <alignment horizontal="center"/>
    </xf>
    <xf numFmtId="164" fontId="14" fillId="0" borderId="20" applyAlignment="1" pivotButton="0" quotePrefix="0" xfId="6">
      <alignment horizontal="center"/>
    </xf>
    <xf numFmtId="166" fontId="14" fillId="0" borderId="21" applyAlignment="1" pivotButton="0" quotePrefix="0" xfId="0">
      <alignment horizontal="center"/>
    </xf>
    <xf numFmtId="166" fontId="14" fillId="0" borderId="0" applyAlignment="1" pivotButton="0" quotePrefix="0" xfId="0">
      <alignment horizontal="center"/>
    </xf>
    <xf numFmtId="166" fontId="41" fillId="10" borderId="53" applyAlignment="1" pivotButton="0" quotePrefix="0" xfId="0">
      <alignment horizontal="center" vertical="center" wrapText="1"/>
    </xf>
    <xf numFmtId="166" fontId="6" fillId="8" borderId="54" applyAlignment="1" pivotButton="0" quotePrefix="0" xfId="0">
      <alignment horizontal="center" vertical="center" wrapText="1"/>
    </xf>
    <xf numFmtId="184" fontId="18" fillId="0" borderId="0" applyAlignment="1" pivotButton="0" quotePrefix="0" xfId="6">
      <alignment horizontal="center" vertical="center" wrapText="1"/>
    </xf>
    <xf numFmtId="166" fontId="41" fillId="0" borderId="18" applyAlignment="1" pivotButton="0" quotePrefix="0" xfId="0">
      <alignment horizontal="center" vertical="center" wrapText="1"/>
    </xf>
    <xf numFmtId="0" fontId="0" fillId="2" borderId="77" applyAlignment="1" pivotButton="0" quotePrefix="0" xfId="0">
      <alignment horizontal="center" vertical="center" wrapText="1"/>
    </xf>
    <xf numFmtId="174" fontId="4" fillId="2" borderId="0" pivotButton="0" quotePrefix="0" xfId="0"/>
    <xf numFmtId="164" fontId="0" fillId="2" borderId="0" pivotButton="0" quotePrefix="0" xfId="6"/>
    <xf numFmtId="164" fontId="17" fillId="2" borderId="0" pivotButton="0" quotePrefix="0" xfId="0"/>
    <xf numFmtId="174" fontId="17" fillId="2" borderId="0" pivotButton="0" quotePrefix="0" xfId="0"/>
    <xf numFmtId="164" fontId="0" fillId="0" borderId="1" applyAlignment="1" pivotButton="0" quotePrefix="0" xfId="6">
      <alignment horizontal="center" wrapText="1"/>
    </xf>
    <xf numFmtId="164" fontId="0" fillId="0" borderId="1" applyAlignment="1" pivotButton="0" quotePrefix="0" xfId="6">
      <alignment wrapText="1"/>
    </xf>
    <xf numFmtId="164" fontId="1" fillId="0" borderId="1" applyAlignment="1" pivotButton="0" quotePrefix="0" xfId="6">
      <alignment horizontal="center" wrapText="1"/>
    </xf>
    <xf numFmtId="164" fontId="0" fillId="0" borderId="1" applyAlignment="1" pivotButton="0" quotePrefix="0" xfId="0">
      <alignment wrapText="1"/>
    </xf>
  </cellXfs>
  <cellStyles count="22">
    <cellStyle name="Normal" xfId="0" builtinId="0"/>
    <cellStyle name="Currency_Itemizado Revamping Sanitarios 11 SIDERCA" xfId="1"/>
    <cellStyle name="Euro" xfId="2"/>
    <cellStyle name="Millares" xfId="3" builtinId="3"/>
    <cellStyle name="Millares 2" xfId="4"/>
    <cellStyle name="Millares 3" xfId="5"/>
    <cellStyle name="Moneda" xfId="6" builtinId="4"/>
    <cellStyle name="Moneda [0]" xfId="7" builtinId="7"/>
    <cellStyle name="Moneda 2" xfId="8"/>
    <cellStyle name="Moneda 3" xfId="9"/>
    <cellStyle name="Moneda 4" xfId="10"/>
    <cellStyle name="Moneda_ATANOR_COSTEO_BOLSONES_ROS_800KG_ALQ._R2" xfId="11"/>
    <cellStyle name="Moneda_COSTEO MANO DE OBRA UOCRA" xfId="12"/>
    <cellStyle name="No-definido" xfId="13"/>
    <cellStyle name="Normal 2" xfId="14"/>
    <cellStyle name="Normal 3" xfId="15"/>
    <cellStyle name="Normal_COSTEO MANO DE OBRA UOCRA" xfId="16"/>
    <cellStyle name="Normal_LN - ANEXO IV - APERTURA DE COSTOS 2005" xfId="17"/>
    <cellStyle name="Porcentaje" xfId="18" builtinId="5"/>
    <cellStyle name="Porcentaje 2" xfId="19"/>
    <cellStyle name="PSChar" xfId="20"/>
    <cellStyle name="PSInt" xfId="21"/>
  </cellStyles>
  <dxfs count="1">
    <dxf>
      <font>
        <b val="1"/>
        <condense val="0"/>
        <color indexed="12"/>
        <extend val="0"/>
        <u val="singl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externalLink" Target="/xl/externalLinks/externalLink1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Fernando Gorgerino</author>
  </authors>
  <commentList>
    <comment ref="F7" authorId="0" shapeId="0">
      <text>
        <t>IMPUESTOS DIRECTOS:
1.- I.I.B.B.
2.- IMP. AL CHEQUE
3.- TASA MUNICIPAL</t>
      </text>
    </comment>
  </commentList>
</comments>
</file>

<file path=xl/comments/comment2.xml><?xml version="1.0" encoding="utf-8"?>
<comments xmlns="http://schemas.openxmlformats.org/spreadsheetml/2006/main">
  <authors>
    <author>Fernando Gorgerino</author>
  </authors>
  <commentList>
    <comment ref="B14" authorId="0" shapeId="0">
      <text>
        <t>COLOCAR:
1 CON COBERTURA DE LICENCIAS
0 SIN COBERTURA DE LIENCIAS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114300</colOff>
      <row>0</row>
      <rowOff>38100</rowOff>
    </from>
    <to>
      <col>6</col>
      <colOff>45720</colOff>
      <row>4</row>
      <rowOff>15240</rowOff>
    </to>
    <grpSp>
      <nvGrpSpPr>
        <cNvPr id="52290" name="Group 3"/>
        <cNvGrpSpPr>
          <a:grpSpLocks xmlns:a="http://schemas.openxmlformats.org/drawingml/2006/main"/>
        </cNvGrpSpPr>
      </nvGrpSpPr>
      <grpSpPr bwMode="auto">
        <a:xfrm xmlns:a="http://schemas.openxmlformats.org/drawingml/2006/main" rot="0">
          <a:off x="289560" y="38100"/>
          <a:ext cx="998220" cy="777240"/>
          <a:chOff x="2064" y="2448"/>
          <a:chExt cx="1620" cy="1290"/>
        </a:xfrm>
      </grpSpPr>
      <pic>
        <nvPicPr>
          <cNvPr id="52291" name="Picture 4"/>
          <cNvPicPr>
            <a:picLocks xmlns:a="http://schemas.openxmlformats.org/drawingml/2006/main" noChangeAspect="1" noChangeArrowheads="1"/>
          </cNvPicPr>
        </nvPicPr>
        <blipFill>
          <a:blip xmlns:a="http://schemas.openxmlformats.org/drawingml/2006/main" xmlns:r="http://schemas.openxmlformats.org/officeDocument/2006/relationships" cstate="print" r:embed="rId1"/>
          <a:srcRect xmlns:a="http://schemas.openxmlformats.org/drawingml/2006/main"/>
          <a:stretch xmlns:a="http://schemas.openxmlformats.org/drawingml/2006/main">
            <a:fillRect/>
          </a:stretch>
        </blipFill>
        <spPr bwMode="auto">
          <a:xfrm xmlns:a="http://schemas.openxmlformats.org/drawingml/2006/main">
            <a:off x="2064" y="2448"/>
            <a:ext cx="1620" cy="1290"/>
          </a:xfrm>
          <a:prstGeom xmlns:a="http://schemas.openxmlformats.org/drawingml/2006/main" prst="rect">
            <avLst/>
          </a:prstGeom>
          <a:noFill xmlns:a="http://schemas.openxmlformats.org/drawingml/2006/main"/>
          <a:ln xmlns:a="http://schemas.openxmlformats.org/drawingml/2006/main">
            <a:noFill/>
            <a:prstDash val="solid"/>
          </a:ln>
        </spPr>
      </pic>
    </grpSp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\Gesti&#243;n%20Comercial%20IMA\Mis%20Documentos\Desarrollo%20de%20Negocios%20MERCOSUR\Desarrollo%20de%20Negocios%20Argentina\Siderca\MOA%20Electromecanica%20%20-%20LC%20324473\SIDERCA%20Campana-Apertura%20MOA%20Electromec&#225;nica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CANCE"/>
      <sheetName val="PREVISIÓN DE VENTA"/>
      <sheetName val="PREVISIÓN DE COSTO"/>
      <sheetName val="Apertura de Salarios"/>
      <sheetName val="RESUMEN"/>
      <sheetName val="Siderca- OFICIAL NIVEL 1"/>
      <sheetName val="Siderca- OFICIAL NIVEL 2"/>
      <sheetName val="Siderca- PUNTERO"/>
      <sheetName val="Siderca- CAPATAZ"/>
      <sheetName val="COSTO FIJOS E INDIRECTOS"/>
      <sheetName val="TABLA DE NOMBRES"/>
      <sheetName val="INVERSION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K73"/>
  <sheetViews>
    <sheetView showGridLines="0" view="pageBreakPreview" topLeftCell="A39" zoomScaleNormal="100" zoomScaleSheetLayoutView="100" workbookViewId="0">
      <selection activeCell="AD46" sqref="AD46"/>
    </sheetView>
  </sheetViews>
  <sheetFormatPr baseColWidth="10" defaultColWidth="11.44140625" defaultRowHeight="13.2"/>
  <cols>
    <col width="2.5546875" customWidth="1" min="1" max="1"/>
    <col width="3.109375" customWidth="1" min="2" max="33"/>
    <col width="12.33203125" bestFit="1" customWidth="1" min="34" max="34"/>
    <col width="17.5546875" customWidth="1" style="823" min="35" max="35"/>
    <col width="11.88671875" bestFit="1" customWidth="1" min="36" max="36"/>
    <col width="12.33203125" bestFit="1" customWidth="1" min="37" max="37"/>
  </cols>
  <sheetData>
    <row r="1" ht="15.75" customHeight="1">
      <c r="B1" s="678" t="inlineStr">
        <is>
          <t>HOJA DE CIERRE PROPUESTA</t>
        </is>
      </c>
    </row>
    <row r="2" ht="15.75" customHeight="1"/>
    <row r="3" ht="18.6" customHeight="1">
      <c r="B3" s="680" t="n"/>
      <c r="C3" s="680" t="n"/>
      <c r="D3" s="680" t="n"/>
      <c r="E3" s="680" t="n"/>
      <c r="F3" s="680" t="n"/>
      <c r="G3" s="680" t="n"/>
      <c r="H3" s="680" t="n"/>
      <c r="I3" s="679" t="inlineStr">
        <is>
          <t>IMA Servicios Industriales Argentina S.A.</t>
        </is>
      </c>
      <c r="AG3" s="680" t="n"/>
    </row>
    <row r="5" ht="34.5" customHeight="1">
      <c r="B5" s="670" t="inlineStr">
        <is>
          <t>NOMBRE PROPUESTA:</t>
        </is>
      </c>
      <c r="I5" s="845" t="inlineStr">
        <is>
          <t>[NOMBRE DE LA PROPUESTA]</t>
        </is>
      </c>
      <c r="J5" s="846" t="n"/>
      <c r="K5" s="846" t="n"/>
      <c r="L5" s="846" t="n"/>
      <c r="M5" s="846" t="n"/>
      <c r="N5" s="846" t="n"/>
      <c r="O5" s="846" t="n"/>
      <c r="P5" s="846" t="n"/>
      <c r="Q5" s="846" t="n"/>
      <c r="R5" s="846" t="n"/>
      <c r="S5" s="846" t="n"/>
      <c r="T5" s="846" t="n"/>
      <c r="U5" s="846" t="n"/>
      <c r="V5" s="846" t="n"/>
      <c r="W5" s="846" t="n"/>
      <c r="X5" s="846" t="n"/>
      <c r="Y5" s="846" t="n"/>
      <c r="Z5" s="846" t="n"/>
      <c r="AA5" s="846" t="n"/>
      <c r="AB5" s="846" t="n"/>
      <c r="AC5" s="846" t="n"/>
      <c r="AD5" s="846" t="n"/>
      <c r="AE5" s="846" t="n"/>
      <c r="AF5" s="846" t="n"/>
      <c r="AG5" s="847" t="n"/>
    </row>
    <row r="6" ht="4.5" customHeight="1">
      <c r="B6" s="670" t="n"/>
      <c r="C6" s="670" t="n"/>
      <c r="D6" s="670" t="n"/>
      <c r="E6" s="670" t="n"/>
      <c r="F6" s="670" t="n"/>
      <c r="G6" s="670" t="n"/>
      <c r="H6" s="670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39" t="n"/>
      <c r="AD6" s="169" t="n"/>
    </row>
    <row r="7">
      <c r="B7" s="670" t="inlineStr">
        <is>
          <t>NOMBRE CLIENTE:</t>
        </is>
      </c>
      <c r="I7" s="848" t="inlineStr">
        <is>
          <t>[CLIENTE]</t>
        </is>
      </c>
      <c r="J7" s="846" t="n"/>
      <c r="K7" s="846" t="n"/>
      <c r="L7" s="846" t="n"/>
      <c r="M7" s="846" t="n"/>
      <c r="N7" s="846" t="n"/>
      <c r="O7" s="846" t="n"/>
      <c r="P7" s="846" t="n"/>
      <c r="Q7" s="846" t="n"/>
      <c r="R7" s="846" t="n"/>
      <c r="S7" s="846" t="n"/>
      <c r="T7" s="846" t="n"/>
      <c r="U7" s="846" t="n"/>
      <c r="V7" s="846" t="n"/>
      <c r="W7" s="846" t="n"/>
      <c r="X7" s="846" t="n"/>
      <c r="Y7" s="847" t="n"/>
      <c r="AA7" s="657" t="inlineStr">
        <is>
          <t>FECHA:</t>
        </is>
      </c>
      <c r="AC7" s="849" t="n"/>
      <c r="AD7" s="850" t="n">
        <v>46199</v>
      </c>
      <c r="AE7" s="846" t="n"/>
      <c r="AF7" s="846" t="n"/>
      <c r="AG7" s="847" t="n"/>
    </row>
    <row r="8" ht="4.5" customHeight="1">
      <c r="B8" s="670" t="n"/>
      <c r="C8" s="670" t="n"/>
      <c r="D8" s="670" t="n"/>
      <c r="E8" s="670" t="n"/>
      <c r="F8" s="670" t="n"/>
      <c r="G8" s="670" t="n"/>
      <c r="H8" s="670" t="n"/>
      <c r="AA8" s="656" t="n"/>
      <c r="AB8" s="656" t="n"/>
      <c r="AC8" s="656" t="n"/>
      <c r="AD8" s="244" t="n"/>
      <c r="AE8" s="244" t="n"/>
      <c r="AF8" s="244" t="n"/>
      <c r="AG8" s="244" t="n"/>
    </row>
    <row r="9">
      <c r="B9" s="670" t="inlineStr">
        <is>
          <t>REFERENCIA CLIENTE:</t>
        </is>
      </c>
      <c r="I9" s="848" t="inlineStr">
        <is>
          <t>[Nº LICITACIÓN / PROCESO]</t>
        </is>
      </c>
      <c r="J9" s="846" t="n"/>
      <c r="K9" s="846" t="n"/>
      <c r="L9" s="846" t="n"/>
      <c r="M9" s="846" t="n"/>
      <c r="N9" s="846" t="n"/>
      <c r="O9" s="846" t="n"/>
      <c r="P9" s="846" t="n"/>
      <c r="Q9" s="846" t="n"/>
      <c r="R9" s="846" t="n"/>
      <c r="S9" s="846" t="n"/>
      <c r="T9" s="846" t="n"/>
      <c r="U9" s="846" t="n"/>
      <c r="V9" s="846" t="n"/>
      <c r="W9" s="846" t="n"/>
      <c r="X9" s="846" t="n"/>
      <c r="Y9" s="847" t="n"/>
      <c r="AA9" s="656" t="inlineStr">
        <is>
          <t>C.I.</t>
        </is>
      </c>
      <c r="AD9" s="671" t="n"/>
      <c r="AE9" s="846" t="n"/>
      <c r="AF9" s="846" t="n"/>
      <c r="AG9" s="847" t="n"/>
    </row>
    <row r="10" ht="4.5" customHeight="1">
      <c r="B10" s="670" t="n"/>
      <c r="C10" s="670" t="n"/>
      <c r="D10" s="670" t="n"/>
      <c r="E10" s="670" t="n"/>
      <c r="F10" s="670" t="n"/>
      <c r="G10" s="670" t="n"/>
      <c r="H10" s="670" t="n"/>
      <c r="X10" s="121" t="n"/>
      <c r="Y10" s="121" t="n"/>
      <c r="Z10" s="121" t="n"/>
      <c r="AA10" s="95" t="n"/>
      <c r="AB10" s="95" t="n"/>
      <c r="AC10" s="95" t="n"/>
      <c r="AD10" s="95" t="n"/>
    </row>
    <row r="11">
      <c r="B11" s="670" t="inlineStr">
        <is>
          <t>SOLICITADO POR:</t>
        </is>
      </c>
      <c r="I11" s="848" t="n"/>
      <c r="J11" s="846" t="n"/>
      <c r="K11" s="846" t="n"/>
      <c r="L11" s="846" t="n"/>
      <c r="M11" s="846" t="n"/>
      <c r="N11" s="846" t="n"/>
      <c r="O11" s="846" t="n"/>
      <c r="P11" s="846" t="n"/>
      <c r="Q11" s="846" t="n"/>
      <c r="R11" s="846" t="n"/>
      <c r="S11" s="847" t="n"/>
      <c r="U11" s="656" t="inlineStr">
        <is>
          <t>CARGO:</t>
        </is>
      </c>
      <c r="X11" s="848" t="n"/>
      <c r="Y11" s="846" t="n"/>
      <c r="Z11" s="846" t="n"/>
      <c r="AA11" s="846" t="n"/>
      <c r="AB11" s="846" t="n"/>
      <c r="AC11" s="846" t="n"/>
      <c r="AD11" s="846" t="n"/>
      <c r="AE11" s="846" t="n"/>
      <c r="AF11" s="846" t="n"/>
      <c r="AG11" s="847" t="n"/>
    </row>
    <row r="12" ht="4.5" customHeight="1"/>
    <row r="13">
      <c r="B13" s="670" t="inlineStr">
        <is>
          <t>COTIZADO POR:</t>
        </is>
      </c>
      <c r="I13" s="851" t="inlineStr">
        <is>
          <t>IMA</t>
        </is>
      </c>
      <c r="J13" s="846" t="n"/>
      <c r="K13" s="846" t="n"/>
      <c r="L13" s="846" t="n"/>
      <c r="M13" s="846" t="n"/>
      <c r="N13" s="846" t="n"/>
      <c r="O13" s="846" t="n"/>
      <c r="P13" s="846" t="n"/>
      <c r="Q13" s="846" t="n"/>
      <c r="R13" s="846" t="n"/>
      <c r="S13" s="847" t="n"/>
      <c r="U13" s="656" t="inlineStr">
        <is>
          <t>Vendedor:</t>
        </is>
      </c>
      <c r="X13" s="851" t="inlineStr">
        <is>
          <t>IMA</t>
        </is>
      </c>
      <c r="Y13" s="846" t="n"/>
      <c r="Z13" s="846" t="n"/>
      <c r="AA13" s="846" t="n"/>
      <c r="AB13" s="846" t="n"/>
      <c r="AC13" s="846" t="n"/>
      <c r="AD13" s="846" t="n"/>
      <c r="AE13" s="846" t="n"/>
      <c r="AF13" s="846" t="n"/>
      <c r="AG13" s="847" t="n"/>
    </row>
    <row r="14">
      <c r="B14" s="670" t="inlineStr">
        <is>
          <t>REVISADO POR:</t>
        </is>
      </c>
      <c r="I14" s="851" t="inlineStr">
        <is>
          <t>IMA</t>
        </is>
      </c>
      <c r="J14" s="846" t="n"/>
      <c r="K14" s="846" t="n"/>
      <c r="L14" s="846" t="n"/>
      <c r="M14" s="846" t="n"/>
      <c r="N14" s="846" t="n"/>
      <c r="O14" s="846" t="n"/>
      <c r="P14" s="846" t="n"/>
      <c r="Q14" s="846" t="n"/>
      <c r="R14" s="846" t="n"/>
      <c r="S14" s="847" t="n"/>
      <c r="U14" s="656" t="n"/>
      <c r="X14" s="851" t="n"/>
      <c r="Y14" s="846" t="n"/>
      <c r="Z14" s="846" t="n"/>
      <c r="AA14" s="846" t="n"/>
      <c r="AB14" s="846" t="n"/>
      <c r="AC14" s="846" t="n"/>
      <c r="AD14" s="846" t="n"/>
      <c r="AE14" s="846" t="n"/>
      <c r="AF14" s="846" t="n"/>
      <c r="AG14" s="847" t="n"/>
    </row>
    <row r="16">
      <c r="B16" s="670" t="inlineStr">
        <is>
          <t>OFERTA Nº:</t>
        </is>
      </c>
      <c r="I16" s="671" t="inlineStr">
        <is>
          <t>[OFERTA Nº]</t>
        </is>
      </c>
      <c r="J16" s="846" t="n"/>
      <c r="K16" s="846" t="n"/>
      <c r="L16" s="846" t="n"/>
      <c r="M16" s="846" t="n"/>
      <c r="N16" s="846" t="n"/>
      <c r="O16" s="846" t="n"/>
      <c r="P16" s="846" t="n"/>
      <c r="Q16" s="846" t="n"/>
      <c r="R16" s="846" t="n"/>
      <c r="S16" s="846" t="n"/>
      <c r="T16" s="846" t="n"/>
      <c r="U16" s="846" t="n"/>
      <c r="V16" s="846" t="n"/>
      <c r="W16" s="846" t="n"/>
      <c r="X16" s="846" t="n"/>
      <c r="Y16" s="846" t="n"/>
      <c r="Z16" s="846" t="n"/>
      <c r="AA16" s="846" t="n"/>
      <c r="AB16" s="846" t="n"/>
      <c r="AC16" s="846" t="n"/>
      <c r="AD16" s="846" t="n"/>
      <c r="AE16" s="846" t="n"/>
      <c r="AF16" s="846" t="n"/>
      <c r="AG16" s="847" t="n"/>
    </row>
    <row r="18">
      <c r="B18" s="241" t="inlineStr">
        <is>
          <t>OBJETIVO Y ALCANCE:</t>
        </is>
      </c>
    </row>
    <row r="19">
      <c r="B19" s="62" t="n"/>
    </row>
    <row r="20">
      <c r="B20" s="852" t="inlineStr">
        <is>
          <t>[OBJETIVO Y ALCANCE DEL SERVICIO]</t>
        </is>
      </c>
      <c r="C20" s="239" t="n"/>
      <c r="D20" s="239" t="n"/>
      <c r="E20" s="239" t="n"/>
      <c r="F20" s="239" t="n"/>
      <c r="G20" s="239" t="n"/>
      <c r="H20" s="239" t="n"/>
      <c r="I20" s="239" t="n"/>
      <c r="J20" s="239" t="n"/>
      <c r="K20" s="239" t="n"/>
      <c r="L20" s="239" t="n"/>
      <c r="M20" s="239" t="n"/>
      <c r="N20" s="239" t="n"/>
      <c r="O20" s="239" t="n"/>
      <c r="P20" s="239" t="n"/>
      <c r="Q20" s="239" t="n"/>
      <c r="R20" s="239" t="n"/>
      <c r="S20" s="239" t="n"/>
      <c r="T20" s="239" t="n"/>
      <c r="U20" s="239" t="n"/>
      <c r="V20" s="239" t="n"/>
      <c r="W20" s="239" t="n"/>
      <c r="X20" s="239" t="n"/>
      <c r="Y20" s="239" t="n"/>
      <c r="Z20" s="239" t="n"/>
      <c r="AA20" s="239" t="n"/>
      <c r="AB20" s="239" t="n"/>
      <c r="AC20" s="239" t="n"/>
      <c r="AD20" s="239" t="n"/>
      <c r="AE20" s="239" t="n"/>
      <c r="AF20" s="239" t="n"/>
      <c r="AG20" s="853" t="n"/>
    </row>
    <row r="21">
      <c r="B21" s="854" t="n"/>
      <c r="AG21" s="849" t="n"/>
    </row>
    <row r="22">
      <c r="B22" s="854" t="n"/>
      <c r="AG22" s="849" t="n"/>
    </row>
    <row r="23">
      <c r="B23" s="855" t="n"/>
      <c r="C23" s="169" t="n"/>
      <c r="D23" s="169" t="n"/>
      <c r="E23" s="169" t="n"/>
      <c r="F23" s="169" t="n"/>
      <c r="G23" s="169" t="n"/>
      <c r="H23" s="169" t="n"/>
      <c r="I23" s="169" t="n"/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  <c r="AA23" s="169" t="n"/>
      <c r="AB23" s="169" t="n"/>
      <c r="AC23" s="169" t="n"/>
      <c r="AD23" s="169" t="n"/>
      <c r="AE23" s="169" t="n"/>
      <c r="AF23" s="169" t="n"/>
      <c r="AG23" s="856" t="n"/>
    </row>
    <row r="25">
      <c r="B25" s="241" t="inlineStr">
        <is>
          <t>GARANTIAS:</t>
        </is>
      </c>
    </row>
    <row r="26">
      <c r="J26" s="656" t="inlineStr">
        <is>
          <t>SI</t>
        </is>
      </c>
      <c r="L26" s="656" t="inlineStr">
        <is>
          <t>NO</t>
        </is>
      </c>
      <c r="N26" s="644" t="inlineStr">
        <is>
          <t>DESCRIPCION</t>
        </is>
      </c>
      <c r="O26" s="169" t="n"/>
      <c r="P26" s="169" t="n"/>
      <c r="Q26" s="169" t="n"/>
      <c r="R26" s="169" t="n"/>
      <c r="S26" s="169" t="n"/>
      <c r="T26" s="169" t="n"/>
      <c r="U26" s="169" t="n"/>
      <c r="V26" s="169" t="n"/>
      <c r="W26" s="169" t="n"/>
      <c r="X26" s="169" t="n"/>
      <c r="Y26" s="169" t="n"/>
      <c r="Z26" s="169" t="n"/>
      <c r="AA26" s="169" t="n"/>
      <c r="AB26" s="169" t="n"/>
      <c r="AC26" s="169" t="n"/>
      <c r="AD26" s="169" t="n"/>
      <c r="AE26" s="169" t="n"/>
      <c r="AF26" s="169" t="n"/>
      <c r="AG26" s="169" t="n"/>
    </row>
    <row r="27">
      <c r="B27" s="656" t="inlineStr">
        <is>
          <t>SERIEDAD DE LA OFERTA</t>
        </is>
      </c>
      <c r="J27" s="242" t="n"/>
      <c r="K27" s="823" t="n"/>
      <c r="L27" s="242" t="n"/>
      <c r="N27" s="851" t="n"/>
      <c r="O27" s="846" t="n"/>
      <c r="P27" s="846" t="n"/>
      <c r="Q27" s="846" t="n"/>
      <c r="R27" s="846" t="n"/>
      <c r="S27" s="846" t="n"/>
      <c r="T27" s="846" t="n"/>
      <c r="U27" s="846" t="n"/>
      <c r="V27" s="846" t="n"/>
      <c r="W27" s="846" t="n"/>
      <c r="X27" s="846" t="n"/>
      <c r="Y27" s="846" t="n"/>
      <c r="Z27" s="846" t="n"/>
      <c r="AA27" s="846" t="n"/>
      <c r="AB27" s="846" t="n"/>
      <c r="AC27" s="846" t="n"/>
      <c r="AD27" s="846" t="n"/>
      <c r="AE27" s="846" t="n"/>
      <c r="AF27" s="846" t="n"/>
      <c r="AG27" s="847" t="n"/>
    </row>
    <row r="28">
      <c r="B28" s="656" t="inlineStr">
        <is>
          <t>FIEL CUMPLIMIENTO</t>
        </is>
      </c>
      <c r="J28" s="242" t="n"/>
      <c r="K28" s="823" t="n"/>
      <c r="L28" s="242" t="n"/>
      <c r="N28" s="851" t="n"/>
      <c r="O28" s="846" t="n"/>
      <c r="P28" s="846" t="n"/>
      <c r="Q28" s="846" t="n"/>
      <c r="R28" s="846" t="n"/>
      <c r="S28" s="846" t="n"/>
      <c r="T28" s="846" t="n"/>
      <c r="U28" s="846" t="n"/>
      <c r="V28" s="846" t="n"/>
      <c r="W28" s="846" t="n"/>
      <c r="X28" s="846" t="n"/>
      <c r="Y28" s="846" t="n"/>
      <c r="Z28" s="846" t="n"/>
      <c r="AA28" s="846" t="n"/>
      <c r="AB28" s="846" t="n"/>
      <c r="AC28" s="846" t="n"/>
      <c r="AD28" s="846" t="n"/>
      <c r="AE28" s="846" t="n"/>
      <c r="AF28" s="846" t="n"/>
      <c r="AG28" s="847" t="n"/>
    </row>
    <row r="29">
      <c r="B29" s="656" t="inlineStr">
        <is>
          <t>RETENCIONES</t>
        </is>
      </c>
      <c r="J29" s="242" t="inlineStr">
        <is>
          <t>X</t>
        </is>
      </c>
      <c r="K29" s="823" t="n"/>
      <c r="L29" s="242" t="n"/>
      <c r="N29" s="851" t="inlineStr">
        <is>
          <t>RETENCIÓN DE IVA, IIGG E IIBB</t>
        </is>
      </c>
      <c r="O29" s="846" t="n"/>
      <c r="P29" s="846" t="n"/>
      <c r="Q29" s="846" t="n"/>
      <c r="R29" s="846" t="n"/>
      <c r="S29" s="846" t="n"/>
      <c r="T29" s="846" t="n"/>
      <c r="U29" s="846" t="n"/>
      <c r="V29" s="846" t="n"/>
      <c r="W29" s="846" t="n"/>
      <c r="X29" s="846" t="n"/>
      <c r="Y29" s="846" t="n"/>
      <c r="Z29" s="846" t="n"/>
      <c r="AA29" s="846" t="n"/>
      <c r="AB29" s="846" t="n"/>
      <c r="AC29" s="846" t="n"/>
      <c r="AD29" s="846" t="n"/>
      <c r="AE29" s="846" t="n"/>
      <c r="AF29" s="846" t="n"/>
      <c r="AG29" s="847" t="n"/>
    </row>
    <row r="31">
      <c r="B31" s="241" t="inlineStr">
        <is>
          <t>MULTAS:</t>
        </is>
      </c>
    </row>
    <row r="32">
      <c r="J32" s="656" t="inlineStr">
        <is>
          <t>SI</t>
        </is>
      </c>
      <c r="L32" s="656" t="inlineStr">
        <is>
          <t>NO</t>
        </is>
      </c>
      <c r="N32" s="644" t="inlineStr">
        <is>
          <t>DESCRIPCION</t>
        </is>
      </c>
      <c r="O32" s="169" t="n"/>
      <c r="P32" s="169" t="n"/>
      <c r="Q32" s="169" t="n"/>
      <c r="R32" s="169" t="n"/>
      <c r="S32" s="169" t="n"/>
      <c r="T32" s="169" t="n"/>
      <c r="U32" s="169" t="n"/>
      <c r="V32" s="169" t="n"/>
      <c r="W32" s="169" t="n"/>
      <c r="X32" s="169" t="n"/>
      <c r="Y32" s="169" t="n"/>
      <c r="Z32" s="169" t="n"/>
      <c r="AA32" s="169" t="n"/>
      <c r="AB32" s="169" t="n"/>
      <c r="AC32" s="169" t="n"/>
      <c r="AD32" s="169" t="n"/>
      <c r="AE32" s="169" t="n"/>
      <c r="AF32" s="169" t="n"/>
      <c r="AG32" s="169" t="n"/>
    </row>
    <row r="33">
      <c r="B33" s="656" t="inlineStr">
        <is>
          <t>POR PLAZO DE HITOS</t>
        </is>
      </c>
      <c r="J33" s="242" t="inlineStr">
        <is>
          <t>X</t>
        </is>
      </c>
      <c r="K33" s="823" t="n"/>
      <c r="L33" s="242" t="n"/>
      <c r="N33" s="851" t="n"/>
      <c r="O33" s="846" t="n"/>
      <c r="P33" s="846" t="n"/>
      <c r="Q33" s="846" t="n"/>
      <c r="R33" s="846" t="n"/>
      <c r="S33" s="846" t="n"/>
      <c r="T33" s="846" t="n"/>
      <c r="U33" s="846" t="n"/>
      <c r="V33" s="846" t="n"/>
      <c r="W33" s="846" t="n"/>
      <c r="X33" s="846" t="n"/>
      <c r="Y33" s="846" t="n"/>
      <c r="Z33" s="846" t="n"/>
      <c r="AA33" s="846" t="n"/>
      <c r="AB33" s="846" t="n"/>
      <c r="AC33" s="846" t="n"/>
      <c r="AD33" s="846" t="n"/>
      <c r="AE33" s="846" t="n"/>
      <c r="AF33" s="846" t="n"/>
      <c r="AG33" s="847" t="n"/>
    </row>
    <row r="34">
      <c r="B34" s="656" t="inlineStr">
        <is>
          <t>PERSONAL</t>
        </is>
      </c>
      <c r="J34" s="242" t="inlineStr">
        <is>
          <t>X</t>
        </is>
      </c>
      <c r="K34" s="823" t="n"/>
      <c r="L34" s="242" t="n"/>
      <c r="N34" s="851" t="n"/>
      <c r="O34" s="846" t="n"/>
      <c r="P34" s="846" t="n"/>
      <c r="Q34" s="846" t="n"/>
      <c r="R34" s="846" t="n"/>
      <c r="S34" s="846" t="n"/>
      <c r="T34" s="846" t="n"/>
      <c r="U34" s="846" t="n"/>
      <c r="V34" s="846" t="n"/>
      <c r="W34" s="846" t="n"/>
      <c r="X34" s="846" t="n"/>
      <c r="Y34" s="846" t="n"/>
      <c r="Z34" s="846" t="n"/>
      <c r="AA34" s="846" t="n"/>
      <c r="AB34" s="846" t="n"/>
      <c r="AC34" s="846" t="n"/>
      <c r="AD34" s="846" t="n"/>
      <c r="AE34" s="846" t="n"/>
      <c r="AF34" s="846" t="n"/>
      <c r="AG34" s="847" t="n"/>
    </row>
    <row r="35">
      <c r="B35" s="656" t="inlineStr">
        <is>
          <t>EQUIPOS</t>
        </is>
      </c>
      <c r="J35" s="242" t="inlineStr">
        <is>
          <t>X</t>
        </is>
      </c>
      <c r="K35" s="823" t="n"/>
      <c r="L35" s="242" t="n"/>
      <c r="N35" s="851" t="n"/>
      <c r="O35" s="846" t="n"/>
      <c r="P35" s="846" t="n"/>
      <c r="Q35" s="846" t="n"/>
      <c r="R35" s="846" t="n"/>
      <c r="S35" s="846" t="n"/>
      <c r="T35" s="846" t="n"/>
      <c r="U35" s="846" t="n"/>
      <c r="V35" s="846" t="n"/>
      <c r="W35" s="846" t="n"/>
      <c r="X35" s="846" t="n"/>
      <c r="Y35" s="846" t="n"/>
      <c r="Z35" s="846" t="n"/>
      <c r="AA35" s="846" t="n"/>
      <c r="AB35" s="846" t="n"/>
      <c r="AC35" s="846" t="n"/>
      <c r="AD35" s="846" t="n"/>
      <c r="AE35" s="846" t="n"/>
      <c r="AF35" s="846" t="n"/>
      <c r="AG35" s="847" t="n"/>
    </row>
    <row r="36">
      <c r="B36" s="656" t="inlineStr">
        <is>
          <t>MEDIO AMBIENTE</t>
        </is>
      </c>
      <c r="J36" s="242" t="inlineStr">
        <is>
          <t>X</t>
        </is>
      </c>
      <c r="K36" s="823" t="n"/>
      <c r="L36" s="242" t="n"/>
      <c r="N36" s="851" t="n"/>
      <c r="O36" s="846" t="n"/>
      <c r="P36" s="846" t="n"/>
      <c r="Q36" s="846" t="n"/>
      <c r="R36" s="846" t="n"/>
      <c r="S36" s="846" t="n"/>
      <c r="T36" s="846" t="n"/>
      <c r="U36" s="846" t="n"/>
      <c r="V36" s="846" t="n"/>
      <c r="W36" s="846" t="n"/>
      <c r="X36" s="846" t="n"/>
      <c r="Y36" s="846" t="n"/>
      <c r="Z36" s="846" t="n"/>
      <c r="AA36" s="846" t="n"/>
      <c r="AB36" s="846" t="n"/>
      <c r="AC36" s="846" t="n"/>
      <c r="AD36" s="846" t="n"/>
      <c r="AE36" s="846" t="n"/>
      <c r="AF36" s="846" t="n"/>
      <c r="AG36" s="847" t="n"/>
    </row>
    <row r="38">
      <c r="B38" s="241" t="inlineStr">
        <is>
          <t>SEGUROS:</t>
        </is>
      </c>
    </row>
    <row r="39">
      <c r="J39" s="656" t="inlineStr">
        <is>
          <t>SI</t>
        </is>
      </c>
      <c r="L39" s="656" t="inlineStr">
        <is>
          <t>NO</t>
        </is>
      </c>
      <c r="N39" s="644" t="inlineStr">
        <is>
          <t>DESCRIPCION</t>
        </is>
      </c>
      <c r="O39" s="169" t="n"/>
      <c r="P39" s="169" t="n"/>
      <c r="Q39" s="169" t="n"/>
      <c r="R39" s="169" t="n"/>
      <c r="S39" s="169" t="n"/>
      <c r="T39" s="169" t="n"/>
      <c r="U39" s="169" t="n"/>
      <c r="V39" s="169" t="n"/>
      <c r="W39" s="169" t="n"/>
      <c r="X39" s="169" t="n"/>
      <c r="Y39" s="169" t="n"/>
      <c r="Z39" s="169" t="n"/>
      <c r="AA39" s="169" t="n"/>
      <c r="AB39" s="169" t="n"/>
      <c r="AC39" s="169" t="n"/>
      <c r="AD39" s="169" t="n"/>
      <c r="AE39" s="169" t="n"/>
      <c r="AF39" s="169" t="n"/>
      <c r="AG39" s="169" t="n"/>
    </row>
    <row r="40">
      <c r="B40" s="656" t="inlineStr">
        <is>
          <t>ACCIDENTES TRABAJO Y EP</t>
        </is>
      </c>
      <c r="J40" s="242" t="inlineStr">
        <is>
          <t>X</t>
        </is>
      </c>
      <c r="K40" s="823" t="n"/>
      <c r="L40" s="242" t="n"/>
      <c r="N40" s="851" t="inlineStr">
        <is>
          <t>ART</t>
        </is>
      </c>
      <c r="O40" s="846" t="n"/>
      <c r="P40" s="846" t="n"/>
      <c r="Q40" s="846" t="n"/>
      <c r="R40" s="846" t="n"/>
      <c r="S40" s="846" t="n"/>
      <c r="T40" s="846" t="n"/>
      <c r="U40" s="846" t="n"/>
      <c r="V40" s="846" t="n"/>
      <c r="W40" s="846" t="n"/>
      <c r="X40" s="846" t="n"/>
      <c r="Y40" s="846" t="n"/>
      <c r="Z40" s="846" t="n"/>
      <c r="AA40" s="846" t="n"/>
      <c r="AB40" s="846" t="n"/>
      <c r="AC40" s="846" t="n"/>
      <c r="AD40" s="846" t="n"/>
      <c r="AE40" s="846" t="n"/>
      <c r="AF40" s="846" t="n"/>
      <c r="AG40" s="847" t="n"/>
    </row>
    <row r="41">
      <c r="B41" s="656" t="inlineStr">
        <is>
          <t>VEHICULOS</t>
        </is>
      </c>
      <c r="J41" s="242" t="inlineStr">
        <is>
          <t>X</t>
        </is>
      </c>
      <c r="K41" s="823" t="n"/>
      <c r="L41" s="242" t="n"/>
      <c r="N41" s="851" t="inlineStr">
        <is>
          <t>SEGURO</t>
        </is>
      </c>
      <c r="O41" s="846" t="n"/>
      <c r="P41" s="846" t="n"/>
      <c r="Q41" s="846" t="n"/>
      <c r="R41" s="846" t="n"/>
      <c r="S41" s="846" t="n"/>
      <c r="T41" s="846" t="n"/>
      <c r="U41" s="846" t="n"/>
      <c r="V41" s="846" t="n"/>
      <c r="W41" s="846" t="n"/>
      <c r="X41" s="846" t="n"/>
      <c r="Y41" s="846" t="n"/>
      <c r="Z41" s="846" t="n"/>
      <c r="AA41" s="846" t="n"/>
      <c r="AB41" s="846" t="n"/>
      <c r="AC41" s="846" t="n"/>
      <c r="AD41" s="846" t="n"/>
      <c r="AE41" s="846" t="n"/>
      <c r="AF41" s="846" t="n"/>
      <c r="AG41" s="847" t="n"/>
    </row>
    <row r="42">
      <c r="B42" s="656" t="inlineStr">
        <is>
          <t>RESPONSABILIDAD CIVIL</t>
        </is>
      </c>
      <c r="J42" s="242" t="inlineStr">
        <is>
          <t>X</t>
        </is>
      </c>
      <c r="K42" s="823" t="n"/>
      <c r="L42" s="242" t="n"/>
      <c r="N42" s="851" t="inlineStr">
        <is>
          <t>SEGURO</t>
        </is>
      </c>
      <c r="O42" s="846" t="n"/>
      <c r="P42" s="846" t="n"/>
      <c r="Q42" s="846" t="n"/>
      <c r="R42" s="846" t="n"/>
      <c r="S42" s="846" t="n"/>
      <c r="T42" s="846" t="n"/>
      <c r="U42" s="846" t="n"/>
      <c r="V42" s="846" t="n"/>
      <c r="W42" s="846" t="n"/>
      <c r="X42" s="846" t="n"/>
      <c r="Y42" s="846" t="n"/>
      <c r="Z42" s="846" t="n"/>
      <c r="AA42" s="846" t="n"/>
      <c r="AB42" s="846" t="n"/>
      <c r="AC42" s="846" t="n"/>
      <c r="AD42" s="846" t="n"/>
      <c r="AE42" s="846" t="n"/>
      <c r="AF42" s="846" t="n"/>
      <c r="AG42" s="847" t="n"/>
    </row>
    <row r="43">
      <c r="B43" s="656" t="inlineStr">
        <is>
          <t>ACCIDENTES PERSONALES</t>
        </is>
      </c>
      <c r="J43" s="242" t="n"/>
      <c r="K43" s="823" t="n"/>
      <c r="L43" s="242" t="n"/>
      <c r="N43" s="851" t="n"/>
      <c r="O43" s="846" t="n"/>
      <c r="P43" s="846" t="n"/>
      <c r="Q43" s="846" t="n"/>
      <c r="R43" s="846" t="n"/>
      <c r="S43" s="846" t="n"/>
      <c r="T43" s="846" t="n"/>
      <c r="U43" s="846" t="n"/>
      <c r="V43" s="846" t="n"/>
      <c r="W43" s="846" t="n"/>
      <c r="X43" s="846" t="n"/>
      <c r="Y43" s="846" t="n"/>
      <c r="Z43" s="846" t="n"/>
      <c r="AA43" s="846" t="n"/>
      <c r="AB43" s="846" t="n"/>
      <c r="AC43" s="846" t="n"/>
      <c r="AD43" s="846" t="n"/>
      <c r="AE43" s="846" t="n"/>
      <c r="AF43" s="846" t="n"/>
      <c r="AG43" s="847" t="n"/>
    </row>
    <row r="44">
      <c r="AD44" s="640" t="inlineStr">
        <is>
          <t>AÑOS</t>
        </is>
      </c>
      <c r="AE44" s="846" t="n"/>
      <c r="AF44" s="846" t="n"/>
      <c r="AG44" s="846" t="n"/>
    </row>
    <row r="45">
      <c r="B45" s="241" t="inlineStr">
        <is>
          <t>DURACION DEL CONTRATO:</t>
        </is>
      </c>
      <c r="N45" s="857" t="inlineStr">
        <is>
          <t>2 AÑOS</t>
        </is>
      </c>
      <c r="O45" s="846" t="n"/>
      <c r="P45" s="846" t="n"/>
      <c r="Q45" s="846" t="n"/>
      <c r="R45" s="846" t="n"/>
      <c r="S45" s="846" t="n"/>
      <c r="T45" s="846" t="n"/>
      <c r="U45" s="846" t="n"/>
      <c r="V45" s="846" t="n"/>
      <c r="W45" s="846" t="n"/>
      <c r="X45" s="846" t="n"/>
      <c r="Y45" s="846" t="n"/>
      <c r="Z45" s="846" t="n"/>
      <c r="AA45" s="846" t="n"/>
      <c r="AB45" s="846" t="n"/>
      <c r="AC45" s="847" t="n"/>
      <c r="AD45" s="645" t="n">
        <v>1</v>
      </c>
      <c r="AE45" s="846" t="n"/>
      <c r="AF45" s="846" t="n"/>
      <c r="AG45" s="847" t="n"/>
    </row>
    <row r="47">
      <c r="B47" s="241" t="inlineStr">
        <is>
          <t>COMPETENCIA:</t>
        </is>
      </c>
    </row>
    <row r="48">
      <c r="B48" s="62" t="n"/>
    </row>
    <row r="49">
      <c r="C49" s="656" t="n"/>
      <c r="D49" s="851" t="n"/>
      <c r="E49" s="846" t="n"/>
      <c r="F49" s="846" t="n"/>
      <c r="G49" s="846" t="n"/>
      <c r="H49" s="846" t="n"/>
      <c r="I49" s="846" t="n"/>
      <c r="J49" s="846" t="n"/>
      <c r="K49" s="846" t="n"/>
      <c r="L49" s="846" t="n"/>
      <c r="M49" s="846" t="n"/>
      <c r="N49" s="846" t="n"/>
      <c r="O49" s="846" t="n"/>
      <c r="P49" s="846" t="n"/>
      <c r="Q49" s="847" t="n"/>
      <c r="S49" s="851" t="n"/>
      <c r="T49" s="846" t="n"/>
      <c r="U49" s="846" t="n"/>
      <c r="V49" s="846" t="n"/>
      <c r="W49" s="846" t="n"/>
      <c r="X49" s="846" t="n"/>
      <c r="Y49" s="846" t="n"/>
      <c r="Z49" s="846" t="n"/>
      <c r="AA49" s="846" t="n"/>
      <c r="AB49" s="846" t="n"/>
      <c r="AC49" s="846" t="n"/>
      <c r="AD49" s="846" t="n"/>
      <c r="AE49" s="846" t="n"/>
      <c r="AF49" s="847" t="n"/>
    </row>
    <row r="50">
      <c r="D50" s="851" t="n"/>
      <c r="E50" s="846" t="n"/>
      <c r="F50" s="846" t="n"/>
      <c r="G50" s="846" t="n"/>
      <c r="H50" s="846" t="n"/>
      <c r="I50" s="846" t="n"/>
      <c r="J50" s="846" t="n"/>
      <c r="K50" s="846" t="n"/>
      <c r="L50" s="846" t="n"/>
      <c r="M50" s="846" t="n"/>
      <c r="N50" s="846" t="n"/>
      <c r="O50" s="846" t="n"/>
      <c r="P50" s="846" t="n"/>
      <c r="Q50" s="847" t="n"/>
      <c r="S50" s="851" t="n"/>
      <c r="T50" s="846" t="n"/>
      <c r="U50" s="846" t="n"/>
      <c r="V50" s="846" t="n"/>
      <c r="W50" s="846" t="n"/>
      <c r="X50" s="846" t="n"/>
      <c r="Y50" s="846" t="n"/>
      <c r="Z50" s="846" t="n"/>
      <c r="AA50" s="846" t="n"/>
      <c r="AB50" s="846" t="n"/>
      <c r="AC50" s="846" t="n"/>
      <c r="AD50" s="846" t="n"/>
      <c r="AE50" s="846" t="n"/>
      <c r="AF50" s="847" t="n"/>
    </row>
    <row r="51">
      <c r="D51" s="851" t="n"/>
      <c r="E51" s="846" t="n"/>
      <c r="F51" s="846" t="n"/>
      <c r="G51" s="846" t="n"/>
      <c r="H51" s="846" t="n"/>
      <c r="I51" s="846" t="n"/>
      <c r="J51" s="846" t="n"/>
      <c r="K51" s="846" t="n"/>
      <c r="L51" s="846" t="n"/>
      <c r="M51" s="846" t="n"/>
      <c r="N51" s="846" t="n"/>
      <c r="O51" s="846" t="n"/>
      <c r="P51" s="846" t="n"/>
      <c r="Q51" s="847" t="n"/>
      <c r="S51" s="851" t="n"/>
      <c r="T51" s="846" t="n"/>
      <c r="U51" s="846" t="n"/>
      <c r="V51" s="846" t="n"/>
      <c r="W51" s="846" t="n"/>
      <c r="X51" s="846" t="n"/>
      <c r="Y51" s="846" t="n"/>
      <c r="Z51" s="846" t="n"/>
      <c r="AA51" s="846" t="n"/>
      <c r="AB51" s="846" t="n"/>
      <c r="AC51" s="846" t="n"/>
      <c r="AD51" s="846" t="n"/>
      <c r="AE51" s="846" t="n"/>
      <c r="AF51" s="847" t="n"/>
    </row>
    <row r="52">
      <c r="D52" s="851" t="n"/>
      <c r="E52" s="846" t="n"/>
      <c r="F52" s="846" t="n"/>
      <c r="G52" s="846" t="n"/>
      <c r="H52" s="846" t="n"/>
      <c r="I52" s="846" t="n"/>
      <c r="J52" s="846" t="n"/>
      <c r="K52" s="846" t="n"/>
      <c r="L52" s="846" t="n"/>
      <c r="M52" s="846" t="n"/>
      <c r="N52" s="846" t="n"/>
      <c r="O52" s="846" t="n"/>
      <c r="P52" s="846" t="n"/>
      <c r="Q52" s="847" t="n"/>
      <c r="S52" s="851" t="n"/>
      <c r="T52" s="846" t="n"/>
      <c r="U52" s="846" t="n"/>
      <c r="V52" s="846" t="n"/>
      <c r="W52" s="846" t="n"/>
      <c r="X52" s="846" t="n"/>
      <c r="Y52" s="846" t="n"/>
      <c r="Z52" s="846" t="n"/>
      <c r="AA52" s="846" t="n"/>
      <c r="AB52" s="846" t="n"/>
      <c r="AC52" s="846" t="n"/>
      <c r="AD52" s="846" t="n"/>
      <c r="AE52" s="846" t="n"/>
      <c r="AF52" s="847" t="n"/>
    </row>
    <row r="54">
      <c r="B54" s="241" t="inlineStr">
        <is>
          <t>TIPO DE CONTRATO:</t>
        </is>
      </c>
      <c r="N54" s="851" t="inlineStr">
        <is>
          <t>VALOR POR HH</t>
        </is>
      </c>
      <c r="O54" s="846" t="n"/>
      <c r="P54" s="846" t="n"/>
      <c r="Q54" s="846" t="n"/>
      <c r="R54" s="846" t="n"/>
      <c r="S54" s="846" t="n"/>
      <c r="T54" s="846" t="n"/>
      <c r="U54" s="846" t="n"/>
      <c r="V54" s="846" t="n"/>
      <c r="W54" s="846" t="n"/>
      <c r="X54" s="846" t="n"/>
      <c r="Y54" s="846" t="n"/>
      <c r="Z54" s="846" t="n"/>
      <c r="AA54" s="846" t="n"/>
      <c r="AB54" s="846" t="n"/>
      <c r="AC54" s="846" t="n"/>
      <c r="AD54" s="846" t="n"/>
      <c r="AE54" s="846" t="n"/>
      <c r="AF54" s="846" t="n"/>
      <c r="AG54" s="847" t="n"/>
    </row>
    <row r="56">
      <c r="B56" s="241" t="inlineStr">
        <is>
          <t>MONEDA Y REAJUSTABILIDAD:</t>
        </is>
      </c>
      <c r="N56" s="851" t="inlineStr">
        <is>
          <t>PESOS ARGENTINOS</t>
        </is>
      </c>
      <c r="O56" s="846" t="n"/>
      <c r="P56" s="846" t="n"/>
      <c r="Q56" s="846" t="n"/>
      <c r="R56" s="846" t="n"/>
      <c r="S56" s="846" t="n"/>
      <c r="T56" s="846" t="n"/>
      <c r="U56" s="846" t="n"/>
      <c r="V56" s="846" t="n"/>
      <c r="W56" s="846" t="n"/>
      <c r="X56" s="846" t="n"/>
      <c r="Y56" s="846" t="n"/>
      <c r="Z56" s="846" t="n"/>
      <c r="AA56" s="846" t="n"/>
      <c r="AB56" s="846" t="n"/>
      <c r="AC56" s="846" t="n"/>
      <c r="AD56" s="846" t="n"/>
      <c r="AE56" s="846" t="n"/>
      <c r="AF56" s="846" t="n"/>
      <c r="AG56" s="847" t="n"/>
    </row>
    <row r="58">
      <c r="B58" s="241" t="inlineStr">
        <is>
          <t>FORMA DE PAGO:</t>
        </is>
      </c>
      <c r="N58" s="851" t="inlineStr">
        <is>
          <t>30 DIAS FECHA FACTURA</t>
        </is>
      </c>
      <c r="O58" s="846" t="n"/>
      <c r="P58" s="846" t="n"/>
      <c r="Q58" s="846" t="n"/>
      <c r="R58" s="846" t="n"/>
      <c r="S58" s="846" t="n"/>
      <c r="T58" s="846" t="n"/>
      <c r="U58" s="846" t="n"/>
      <c r="V58" s="846" t="n"/>
      <c r="W58" s="846" t="n"/>
      <c r="X58" s="846" t="n"/>
      <c r="Y58" s="846" t="n"/>
      <c r="Z58" s="846" t="n"/>
      <c r="AA58" s="846" t="n"/>
      <c r="AB58" s="846" t="n"/>
      <c r="AC58" s="846" t="n"/>
      <c r="AD58" s="846" t="n"/>
      <c r="AE58" s="846" t="n"/>
      <c r="AF58" s="846" t="n"/>
      <c r="AG58" s="847" t="n"/>
    </row>
    <row r="60">
      <c r="B60" s="241" t="inlineStr">
        <is>
          <t>PROGRAMA DE CONTROL DE RIESGOS:</t>
        </is>
      </c>
      <c r="N60" s="851" t="n"/>
      <c r="O60" s="846" t="n"/>
      <c r="P60" s="846" t="n"/>
      <c r="Q60" s="846" t="n"/>
      <c r="R60" s="846" t="n"/>
      <c r="S60" s="846" t="n"/>
      <c r="T60" s="846" t="n"/>
      <c r="U60" s="846" t="n"/>
      <c r="V60" s="846" t="n"/>
      <c r="W60" s="846" t="n"/>
      <c r="X60" s="846" t="n"/>
      <c r="Y60" s="846" t="n"/>
      <c r="Z60" s="846" t="n"/>
      <c r="AA60" s="846" t="n"/>
      <c r="AB60" s="846" t="n"/>
      <c r="AC60" s="846" t="n"/>
      <c r="AD60" s="846" t="n"/>
      <c r="AE60" s="846" t="n"/>
      <c r="AF60" s="846" t="n"/>
      <c r="AG60" s="847" t="n"/>
    </row>
    <row r="62">
      <c r="B62" s="241" t="inlineStr">
        <is>
          <t>PLAN DE ASEGURAMIENTO DE CALIDAD:</t>
        </is>
      </c>
      <c r="N62" s="851" t="n"/>
      <c r="O62" s="846" t="n"/>
      <c r="P62" s="846" t="n"/>
      <c r="Q62" s="846" t="n"/>
      <c r="R62" s="846" t="n"/>
      <c r="S62" s="846" t="n"/>
      <c r="T62" s="846" t="n"/>
      <c r="U62" s="846" t="n"/>
      <c r="V62" s="846" t="n"/>
      <c r="W62" s="846" t="n"/>
      <c r="X62" s="846" t="n"/>
      <c r="Y62" s="846" t="n"/>
      <c r="Z62" s="846" t="n"/>
      <c r="AA62" s="846" t="n"/>
      <c r="AB62" s="846" t="n"/>
      <c r="AC62" s="846" t="n"/>
      <c r="AD62" s="846" t="n"/>
      <c r="AE62" s="846" t="n"/>
      <c r="AF62" s="846" t="n"/>
      <c r="AG62" s="847" t="n"/>
    </row>
    <row r="64">
      <c r="B64" s="652" t="n"/>
      <c r="C64" s="846" t="n"/>
      <c r="D64" s="846" t="n"/>
      <c r="E64" s="846" t="n"/>
      <c r="F64" s="846" t="n"/>
      <c r="G64" s="846" t="n"/>
      <c r="H64" s="846" t="n"/>
      <c r="I64" s="846" t="n"/>
      <c r="J64" s="640" t="n"/>
      <c r="K64" s="846" t="n"/>
      <c r="L64" s="640" t="n"/>
      <c r="M64" s="846" t="n"/>
      <c r="N64" s="846" t="n"/>
      <c r="O64" s="640" t="n"/>
      <c r="P64" s="846" t="n"/>
      <c r="Q64" s="846" t="n"/>
      <c r="R64" s="846" t="n"/>
      <c r="S64" s="655" t="n"/>
      <c r="T64" s="846" t="n"/>
      <c r="U64" s="846" t="n"/>
      <c r="V64" s="846" t="n"/>
      <c r="W64" s="640" t="n"/>
      <c r="X64" s="846" t="n"/>
      <c r="Y64" s="846" t="n"/>
      <c r="Z64" s="846" t="n"/>
      <c r="AA64" s="846" t="n"/>
      <c r="AB64" s="846" t="n"/>
      <c r="AC64" s="846" t="n"/>
      <c r="AD64" s="846" t="n"/>
      <c r="AE64" s="846" t="n"/>
      <c r="AF64" s="846" t="n"/>
      <c r="AG64" s="846" t="n"/>
    </row>
    <row r="65" ht="17.4" customHeight="1">
      <c r="B65" s="653" t="inlineStr">
        <is>
          <t>TOTAL COSTO DIRECTOS DE EXPLOTACIÓN + IMP. DIRECTOS</t>
        </is>
      </c>
      <c r="C65" s="846" t="n"/>
      <c r="D65" s="846" t="n"/>
      <c r="E65" s="846" t="n"/>
      <c r="F65" s="846" t="n"/>
      <c r="G65" s="846" t="n"/>
      <c r="H65" s="846" t="n"/>
      <c r="I65" s="846" t="n"/>
      <c r="J65" s="846" t="n"/>
      <c r="K65" s="846" t="n"/>
      <c r="L65" s="846" t="n"/>
      <c r="M65" s="846" t="n"/>
      <c r="N65" s="846" t="n"/>
      <c r="O65" s="846" t="n"/>
      <c r="P65" s="846" t="n"/>
      <c r="Q65" s="846" t="n"/>
      <c r="R65" s="846" t="n"/>
      <c r="S65" s="846" t="n"/>
      <c r="T65" s="846" t="n"/>
      <c r="U65" s="639" t="n"/>
      <c r="V65" s="846" t="n"/>
      <c r="W65" s="847" t="n"/>
      <c r="X65" s="858">
        <f>+'Sintesis Economica'!G18+'Sintesis Economica'!G20</f>
        <v/>
      </c>
      <c r="Y65" s="846" t="n"/>
      <c r="Z65" s="846" t="n"/>
      <c r="AA65" s="846" t="n"/>
      <c r="AB65" s="846" t="n"/>
      <c r="AC65" s="846" t="n"/>
      <c r="AD65" s="846" t="n"/>
      <c r="AE65" s="847" t="n"/>
      <c r="AF65" s="859" t="inlineStr">
        <is>
          <t>MES</t>
        </is>
      </c>
      <c r="AG65" s="847" t="n"/>
    </row>
    <row r="66" ht="17.4" customHeight="1">
      <c r="B66" s="636" t="inlineStr">
        <is>
          <t>MARGEN BRUTO (RESULTADO OPERACIONAL)</t>
        </is>
      </c>
      <c r="C66" s="846" t="n"/>
      <c r="D66" s="846" t="n"/>
      <c r="E66" s="846" t="n"/>
      <c r="F66" s="846" t="n"/>
      <c r="G66" s="846" t="n"/>
      <c r="H66" s="846" t="n"/>
      <c r="I66" s="846" t="n"/>
      <c r="J66" s="846" t="n"/>
      <c r="K66" s="846" t="n"/>
      <c r="L66" s="846" t="n"/>
      <c r="M66" s="846" t="n"/>
      <c r="N66" s="846" t="n"/>
      <c r="O66" s="846" t="n"/>
      <c r="P66" s="846" t="n"/>
      <c r="Q66" s="846" t="n"/>
      <c r="R66" s="846" t="n"/>
      <c r="S66" s="846" t="n"/>
      <c r="T66" s="846" t="n"/>
      <c r="U66" s="638">
        <f>+X66/X67</f>
        <v/>
      </c>
      <c r="V66" s="846" t="n"/>
      <c r="W66" s="847" t="n"/>
      <c r="X66" s="860">
        <f>+X67-X65</f>
        <v/>
      </c>
      <c r="Y66" s="846" t="n"/>
      <c r="Z66" s="846" t="n"/>
      <c r="AA66" s="846" t="n"/>
      <c r="AB66" s="846" t="n"/>
      <c r="AC66" s="846" t="n"/>
      <c r="AD66" s="846" t="n"/>
      <c r="AE66" s="847" t="n"/>
      <c r="AF66" s="859" t="inlineStr">
        <is>
          <t>MES</t>
        </is>
      </c>
      <c r="AG66" s="847" t="n"/>
      <c r="AH66" s="406">
        <f>+X66/X65</f>
        <v/>
      </c>
      <c r="AI66" s="93" t="inlineStr">
        <is>
          <t>MARGEN IMA</t>
        </is>
      </c>
      <c r="AK66" s="861" t="n"/>
    </row>
    <row r="67" ht="21" customHeight="1">
      <c r="B67" s="862" t="inlineStr">
        <is>
          <t>PRECIO DE VENTA (sin IVA)</t>
        </is>
      </c>
      <c r="C67" s="846" t="n"/>
      <c r="D67" s="846" t="n"/>
      <c r="E67" s="846" t="n"/>
      <c r="F67" s="846" t="n"/>
      <c r="G67" s="846" t="n"/>
      <c r="H67" s="846" t="n"/>
      <c r="I67" s="846" t="n"/>
      <c r="J67" s="846" t="n"/>
      <c r="K67" s="846" t="n"/>
      <c r="L67" s="846" t="n"/>
      <c r="M67" s="846" t="n"/>
      <c r="N67" s="846" t="n"/>
      <c r="O67" s="846" t="n"/>
      <c r="P67" s="846" t="n"/>
      <c r="Q67" s="846" t="n"/>
      <c r="R67" s="846" t="n"/>
      <c r="S67" s="846" t="n"/>
      <c r="T67" s="847" t="n"/>
      <c r="U67" s="639" t="n"/>
      <c r="V67" s="846" t="n"/>
      <c r="W67" s="847" t="n"/>
      <c r="X67" s="863">
        <f>+'Sintesis Economica'!G24</f>
        <v/>
      </c>
      <c r="Y67" s="846" t="n"/>
      <c r="Z67" s="846" t="n"/>
      <c r="AA67" s="846" t="n"/>
      <c r="AB67" s="846" t="n"/>
      <c r="AC67" s="846" t="n"/>
      <c r="AD67" s="846" t="n"/>
      <c r="AE67" s="847" t="n"/>
      <c r="AF67" s="859" t="inlineStr">
        <is>
          <t>MES</t>
        </is>
      </c>
      <c r="AG67" s="847" t="n"/>
      <c r="AH67" s="861" t="n"/>
      <c r="AI67" s="95" t="n"/>
    </row>
    <row r="69">
      <c r="B69" s="656" t="inlineStr">
        <is>
          <t>FIRMAS COMITE DE CIERRE:</t>
        </is>
      </c>
    </row>
    <row r="73" ht="13.8" customHeight="1" thickBot="1">
      <c r="D73" s="243" t="n"/>
      <c r="E73" s="243" t="n"/>
      <c r="F73" s="243" t="n"/>
      <c r="G73" s="243" t="n"/>
      <c r="H73" s="243" t="n"/>
      <c r="I73" s="243" t="n"/>
      <c r="K73" s="243" t="n"/>
      <c r="L73" s="243" t="n"/>
      <c r="M73" s="243" t="n"/>
      <c r="N73" s="243" t="n"/>
      <c r="O73" s="243" t="n"/>
      <c r="P73" s="243" t="n"/>
      <c r="R73" s="243" t="n"/>
      <c r="S73" s="243" t="n"/>
      <c r="T73" s="243" t="n"/>
      <c r="U73" s="243" t="n"/>
      <c r="V73" s="243" t="n"/>
      <c r="W73" s="243" t="n"/>
    </row>
  </sheetData>
  <mergeCells count="72">
    <mergeCell ref="X14:AG14"/>
    <mergeCell ref="D50:Q50"/>
    <mergeCell ref="J64:K64"/>
    <mergeCell ref="N27:AG27"/>
    <mergeCell ref="S51:AF51"/>
    <mergeCell ref="N36:AG36"/>
    <mergeCell ref="B9:H9"/>
    <mergeCell ref="I9:Y9"/>
    <mergeCell ref="N26:AG26"/>
    <mergeCell ref="O64:R64"/>
    <mergeCell ref="I5:AG5"/>
    <mergeCell ref="N35:AG35"/>
    <mergeCell ref="S64:V64"/>
    <mergeCell ref="AD7:AG7"/>
    <mergeCell ref="U66:W66"/>
    <mergeCell ref="B65:T65"/>
    <mergeCell ref="I11:S11"/>
    <mergeCell ref="AF67:AG67"/>
    <mergeCell ref="N54:AG54"/>
    <mergeCell ref="B5:H5"/>
    <mergeCell ref="X67:AE67"/>
    <mergeCell ref="L64:N64"/>
    <mergeCell ref="N41:AG41"/>
    <mergeCell ref="AF66:AG66"/>
    <mergeCell ref="B1:AG2"/>
    <mergeCell ref="AA7:AC7"/>
    <mergeCell ref="N32:AG32"/>
    <mergeCell ref="S52:AF52"/>
    <mergeCell ref="X66:AE66"/>
    <mergeCell ref="I3:AF3"/>
    <mergeCell ref="N56:AG56"/>
    <mergeCell ref="AD9:AG9"/>
    <mergeCell ref="W64:AG64"/>
    <mergeCell ref="D52:Q52"/>
    <mergeCell ref="N45:AC45"/>
    <mergeCell ref="AF65:AG65"/>
    <mergeCell ref="I7:Y7"/>
    <mergeCell ref="N43:AG43"/>
    <mergeCell ref="B16:H16"/>
    <mergeCell ref="D49:Q49"/>
    <mergeCell ref="B7:H7"/>
    <mergeCell ref="X11:AG11"/>
    <mergeCell ref="N62:AG62"/>
    <mergeCell ref="N33:AG33"/>
    <mergeCell ref="N42:AG42"/>
    <mergeCell ref="X65:AE65"/>
    <mergeCell ref="N58:AG58"/>
    <mergeCell ref="U67:W67"/>
    <mergeCell ref="S49:AF49"/>
    <mergeCell ref="N39:AG39"/>
    <mergeCell ref="AD44:AG44"/>
    <mergeCell ref="B66:T66"/>
    <mergeCell ref="X13:AG13"/>
    <mergeCell ref="B11:H11"/>
    <mergeCell ref="B20:AG23"/>
    <mergeCell ref="N29:AG29"/>
    <mergeCell ref="I14:S14"/>
    <mergeCell ref="I16:AG16"/>
    <mergeCell ref="N28:AG28"/>
    <mergeCell ref="B14:H14"/>
    <mergeCell ref="B67:T67"/>
    <mergeCell ref="B64:I64"/>
    <mergeCell ref="B13:H13"/>
    <mergeCell ref="N60:AG60"/>
    <mergeCell ref="N40:AG40"/>
    <mergeCell ref="U65:W65"/>
    <mergeCell ref="AD45:AG45"/>
    <mergeCell ref="AA9:AC9"/>
    <mergeCell ref="N34:AG34"/>
    <mergeCell ref="D51:Q51"/>
    <mergeCell ref="I13:S13"/>
    <mergeCell ref="S50:AF50"/>
  </mergeCells>
  <printOptions horizontalCentered="1" verticalCentered="1"/>
  <pageMargins left="0.5511811023622047" right="0.1968503937007874" top="0.4330708661417323" bottom="0.4330708661417323" header="0.2755905511811024" footer="0.2755905511811024"/>
  <pageSetup orientation="portrait" paperSize="135" scale="46"/>
  <headerFooter alignWithMargins="0">
    <oddHeader/>
    <oddFooter>&amp;L&amp;F&amp;R&amp;D -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69"/>
  <sheetViews>
    <sheetView showGridLines="0" view="pageBreakPreview" zoomScale="75" zoomScaleNormal="100" workbookViewId="0">
      <selection activeCell="C3" sqref="C3:H4"/>
    </sheetView>
  </sheetViews>
  <sheetFormatPr baseColWidth="10" defaultColWidth="11.44140625" defaultRowHeight="13.2"/>
  <cols>
    <col width="2.88671875" customWidth="1" min="1" max="1"/>
    <col width="17.88671875" bestFit="1" customWidth="1" min="2" max="2"/>
    <col width="11.5546875" customWidth="1" min="3" max="3"/>
    <col width="33.109375" customWidth="1" min="4" max="4"/>
    <col width="18" customWidth="1" min="5" max="5"/>
    <col width="19.33203125" bestFit="1" customWidth="1" min="6" max="6"/>
    <col width="27.44140625" customWidth="1" min="7" max="7"/>
    <col width="23.5546875" bestFit="1" customWidth="1" min="8" max="8"/>
    <col width="25.33203125" bestFit="1" customWidth="1" min="9" max="9"/>
    <col width="12.33203125" bestFit="1" customWidth="1" min="10" max="10"/>
    <col width="2.5546875" customWidth="1" min="11" max="11"/>
    <col width="12.88671875" customWidth="1" min="12" max="12"/>
    <col width="7.109375" customWidth="1" min="13" max="13"/>
    <col width="43.44140625" bestFit="1" customWidth="1" min="14" max="14"/>
    <col width="17.6640625" customWidth="1" min="15" max="15"/>
    <col width="20" customWidth="1" min="16" max="16"/>
    <col width="1.88671875" customWidth="1" min="17" max="17"/>
    <col width="8" bestFit="1" customWidth="1" min="18" max="18"/>
  </cols>
  <sheetData>
    <row r="1" ht="60" customHeight="1" thickBot="1">
      <c r="A1" s="76" t="n"/>
      <c r="B1" s="706" t="inlineStr">
        <is>
          <t>SINTESIS DE PRESUPUESTO DE VENTA</t>
        </is>
      </c>
      <c r="C1" s="864" t="n"/>
      <c r="D1" s="864" t="n"/>
      <c r="E1" s="864" t="n"/>
      <c r="F1" s="864" t="n"/>
      <c r="G1" s="864" t="n"/>
      <c r="H1" s="864" t="n"/>
      <c r="I1" s="864" t="n"/>
      <c r="J1" s="864" t="n"/>
      <c r="K1" s="74" t="n"/>
    </row>
    <row r="2" ht="30" customFormat="1" customHeight="1" s="134" thickTop="1">
      <c r="A2" s="138" t="n"/>
      <c r="B2" s="195" t="inlineStr">
        <is>
          <t>CLIENTE:</t>
        </is>
      </c>
      <c r="C2" s="865">
        <f>+'Hoja de CIERRE'!I7</f>
        <v/>
      </c>
      <c r="D2" s="866" t="n"/>
      <c r="E2" s="866" t="n"/>
      <c r="F2" s="866" t="n"/>
      <c r="G2" s="866" t="n"/>
      <c r="H2" s="867" t="n"/>
      <c r="I2" s="139" t="inlineStr">
        <is>
          <t>Cotizó:</t>
        </is>
      </c>
      <c r="J2" s="171">
        <f>+'Hoja de CIERRE'!I13</f>
        <v/>
      </c>
      <c r="K2" s="824" t="n"/>
    </row>
    <row r="3" ht="30" customFormat="1" customHeight="1" s="134">
      <c r="A3" s="138" t="n"/>
      <c r="B3" s="707" t="inlineStr">
        <is>
          <t>SERVICIO PROYECTO :</t>
        </is>
      </c>
      <c r="C3" s="868">
        <f>+'Hoja de CIERRE'!I5</f>
        <v/>
      </c>
      <c r="H3" s="849" t="n"/>
      <c r="I3" s="141" t="inlineStr">
        <is>
          <t>Vendió:</t>
        </is>
      </c>
      <c r="J3" s="172">
        <f>+'Hoja de CIERRE'!X13</f>
        <v/>
      </c>
      <c r="K3" s="824" t="n"/>
    </row>
    <row r="4" ht="30" customFormat="1" customHeight="1" s="134">
      <c r="A4" s="138" t="n"/>
      <c r="B4" s="869" t="n"/>
      <c r="C4" s="854" t="n"/>
      <c r="H4" s="849" t="n"/>
      <c r="I4" s="141" t="inlineStr">
        <is>
          <t>Revisó:</t>
        </is>
      </c>
      <c r="J4" s="172">
        <f>+'Hoja de CIERRE'!I14</f>
        <v/>
      </c>
      <c r="K4" s="824" t="n"/>
    </row>
    <row r="5" ht="30" customFormat="1" customHeight="1" s="134" thickBot="1">
      <c r="A5" s="138" t="n"/>
      <c r="B5" s="196" t="inlineStr">
        <is>
          <t>PLIEGO / E.T.P.:</t>
        </is>
      </c>
      <c r="C5" s="870">
        <f>+'Hoja de CIERRE'!I9</f>
        <v/>
      </c>
      <c r="H5" s="849" t="n"/>
      <c r="I5" s="141" t="inlineStr">
        <is>
          <t>Fecha:</t>
        </is>
      </c>
      <c r="J5" s="173">
        <f>+'Hoja de CIERRE'!AD7</f>
        <v/>
      </c>
      <c r="K5" s="824" t="n"/>
    </row>
    <row r="6" ht="30" customFormat="1" customHeight="1" s="134" thickBot="1">
      <c r="A6" s="138" t="n"/>
      <c r="B6" s="197" t="inlineStr">
        <is>
          <t>OFERTA N°:</t>
        </is>
      </c>
      <c r="C6" s="871">
        <f>+'Hoja de CIERRE'!I16</f>
        <v/>
      </c>
      <c r="D6" s="872" t="n"/>
      <c r="E6" s="872" t="n"/>
      <c r="F6" s="872" t="n"/>
      <c r="G6" s="872" t="n"/>
      <c r="H6" s="873" t="n"/>
      <c r="I6" s="142" t="inlineStr">
        <is>
          <t>Revisión</t>
        </is>
      </c>
      <c r="J6" s="174" t="n">
        <v>0</v>
      </c>
      <c r="K6" s="143" t="n"/>
    </row>
    <row r="7" ht="6" customHeight="1" thickTop="1">
      <c r="A7" s="4" t="n"/>
      <c r="B7" s="4" t="n"/>
      <c r="C7" s="4" t="n"/>
      <c r="D7" s="4" t="n"/>
      <c r="E7" s="4" t="n"/>
      <c r="F7" s="823" t="n"/>
      <c r="G7" s="777" t="n"/>
      <c r="H7" s="777" t="n"/>
      <c r="I7" s="777" t="n"/>
      <c r="K7" s="823" t="n"/>
    </row>
    <row r="8" ht="13.8" customHeight="1" thickBot="1">
      <c r="B8" s="70" t="n"/>
      <c r="C8" s="69" t="n"/>
      <c r="D8" s="71" t="n"/>
      <c r="E8" s="70" t="n"/>
      <c r="F8" s="70" t="n"/>
      <c r="G8" s="70" t="n"/>
      <c r="H8" s="70" t="n"/>
      <c r="I8" s="70" t="n"/>
      <c r="J8" s="70" t="n"/>
    </row>
    <row r="9" ht="7.5" customHeight="1">
      <c r="B9" s="125" t="n"/>
      <c r="C9" s="126" t="n"/>
      <c r="D9" s="126" t="n"/>
      <c r="E9" s="126" t="n"/>
      <c r="F9" s="126" t="n"/>
      <c r="G9" s="126" t="n"/>
      <c r="H9" s="126" t="n"/>
      <c r="I9" s="126" t="n"/>
      <c r="J9" s="127" t="n"/>
      <c r="K9" s="75" t="n"/>
    </row>
    <row r="10" ht="26.4" customHeight="1">
      <c r="B10" s="128" t="n"/>
      <c r="C10" s="708" t="inlineStr">
        <is>
          <t>COSTOS</t>
        </is>
      </c>
      <c r="E10" s="708" t="inlineStr">
        <is>
          <t>TOTAL HH</t>
        </is>
      </c>
      <c r="F10" s="708" t="inlineStr">
        <is>
          <t>TOTAL Ho</t>
        </is>
      </c>
      <c r="G10" s="708" t="inlineStr">
        <is>
          <t>VALOR MES</t>
        </is>
      </c>
      <c r="H10" s="708" t="inlineStr">
        <is>
          <t>VALOR AÑO</t>
        </is>
      </c>
      <c r="I10" s="708" t="inlineStr">
        <is>
          <t>VALOR CONTRATO</t>
        </is>
      </c>
      <c r="J10" s="394" t="n"/>
      <c r="K10" s="75" t="n"/>
      <c r="N10" s="519" t="inlineStr">
        <is>
          <t>CONCEPTOS</t>
        </is>
      </c>
      <c r="O10" s="519" t="inlineStr">
        <is>
          <t>PONDERACION PORCENTUAL</t>
        </is>
      </c>
      <c r="P10" s="519" t="inlineStr">
        <is>
          <t>INDICES DE ACTULIZACION</t>
        </is>
      </c>
    </row>
    <row r="11" ht="35.1" customFormat="1" customHeight="1" s="144">
      <c r="B11" s="145" t="n"/>
      <c r="C11" s="204" t="n">
        <v>1</v>
      </c>
      <c r="D11" s="520" t="inlineStr">
        <is>
          <t>MANO DE OBRA</t>
        </is>
      </c>
      <c r="E11" s="521">
        <f>'1 MANO DE OBRA'!L44</f>
        <v/>
      </c>
      <c r="F11" s="521">
        <f>+E11/191</f>
        <v/>
      </c>
      <c r="G11" s="874">
        <f>'Presupuesto Interno'!E11</f>
        <v/>
      </c>
      <c r="H11" s="874">
        <f>+G11*12</f>
        <v/>
      </c>
      <c r="I11" s="874">
        <f>+H11*'Hoja de CIERRE'!$AD$45</f>
        <v/>
      </c>
      <c r="J11" s="394" t="n"/>
      <c r="K11" s="875" t="n"/>
      <c r="L11" s="876" t="n"/>
      <c r="N11" s="522" t="inlineStr">
        <is>
          <t>MANO DE OBRA</t>
        </is>
      </c>
      <c r="O11" s="877">
        <f>'Presupuesto de VENTA'!J13</f>
        <v/>
      </c>
      <c r="P11" s="519" t="inlineStr">
        <is>
          <t>Escala Salarial U.O.M. Oct-09</t>
        </is>
      </c>
      <c r="R11" s="403">
        <f>+'Hoja de CIERRE'!U66*50%</f>
        <v/>
      </c>
      <c r="S11" s="144" t="inlineStr">
        <is>
          <t>MARGEN A MANO DE OBRA</t>
        </is>
      </c>
    </row>
    <row r="12" ht="35.1" customFormat="1" customHeight="1" s="144">
      <c r="B12" s="145" t="n"/>
      <c r="C12" s="204" t="n">
        <v>2</v>
      </c>
      <c r="D12" s="520" t="inlineStr">
        <is>
          <t>SUMINISTRO DE MATERIALES</t>
        </is>
      </c>
      <c r="E12" s="878" t="n"/>
      <c r="F12" s="181" t="n"/>
      <c r="G12" s="874">
        <f>'Presupuesto Interno'!E19</f>
        <v/>
      </c>
      <c r="H12" s="874">
        <f>+G12*12</f>
        <v/>
      </c>
      <c r="I12" s="874">
        <f>+H12*'Hoja de CIERRE'!$AD$45</f>
        <v/>
      </c>
      <c r="J12" s="394" t="n"/>
      <c r="K12" s="875" t="n"/>
      <c r="L12" s="879" t="n"/>
      <c r="N12" s="522" t="inlineStr">
        <is>
          <t>MATERIALES</t>
        </is>
      </c>
      <c r="O12" s="877" t="n">
        <v>0</v>
      </c>
      <c r="P12" s="524" t="inlineStr">
        <is>
          <t>-------</t>
        </is>
      </c>
    </row>
    <row r="13" ht="35.1" customFormat="1" customHeight="1" s="144">
      <c r="B13" s="145" t="n"/>
      <c r="C13" s="204" t="n">
        <v>3</v>
      </c>
      <c r="D13" s="520" t="inlineStr">
        <is>
          <t>SUMINISTRO DE INSUMOS</t>
        </is>
      </c>
      <c r="E13" s="878" t="n"/>
      <c r="F13" s="520" t="n"/>
      <c r="G13" s="874">
        <f>'Presupuesto Interno'!E25</f>
        <v/>
      </c>
      <c r="H13" s="874">
        <f>+G13*12</f>
        <v/>
      </c>
      <c r="I13" s="874">
        <f>+H13*'Hoja de CIERRE'!$AD$45</f>
        <v/>
      </c>
      <c r="J13" s="394" t="n"/>
      <c r="K13" s="875" t="n"/>
      <c r="N13" s="522" t="inlineStr">
        <is>
          <t>INSUMOS CONSUMIBLES +  EPP</t>
        </is>
      </c>
      <c r="O13" s="877">
        <f>'Presupuesto de VENTA'!J25</f>
        <v/>
      </c>
      <c r="P13" s="519" t="inlineStr">
        <is>
          <t>IPIM - NG Oct-09</t>
        </is>
      </c>
    </row>
    <row r="14" ht="35.1" customFormat="1" customHeight="1" s="144">
      <c r="B14" s="145" t="n"/>
      <c r="C14" s="204" t="n">
        <v>4</v>
      </c>
      <c r="D14" s="520" t="inlineStr">
        <is>
          <t>SUBCONTRATACIONES</t>
        </is>
      </c>
      <c r="E14" s="878" t="n"/>
      <c r="F14" s="520" t="n"/>
      <c r="G14" s="874">
        <f>'Presupuesto Interno'!E33</f>
        <v/>
      </c>
      <c r="H14" s="874">
        <f>+G14*12</f>
        <v/>
      </c>
      <c r="I14" s="874">
        <f>+H14*'Hoja de CIERRE'!$AD$45</f>
        <v/>
      </c>
      <c r="J14" s="394" t="n"/>
      <c r="K14" s="875" t="n"/>
      <c r="L14" s="880" t="n"/>
      <c r="N14" s="522" t="inlineStr">
        <is>
          <t>COMBUSTIBLES</t>
        </is>
      </c>
      <c r="O14" s="877">
        <f>'Presupuesto de VENTA'!J33</f>
        <v/>
      </c>
      <c r="P14" s="519" t="inlineStr">
        <is>
          <t>Precio Gas-Oil Oct-09</t>
        </is>
      </c>
    </row>
    <row r="15" ht="35.1" customFormat="1" customHeight="1" s="144">
      <c r="B15" s="145" t="n"/>
      <c r="C15" s="204" t="n">
        <v>5</v>
      </c>
      <c r="D15" s="520" t="inlineStr">
        <is>
          <t>AMORTIZACIONES</t>
        </is>
      </c>
      <c r="E15" s="878" t="n"/>
      <c r="F15" s="520" t="n"/>
      <c r="G15" s="874">
        <f>'Presupuesto Interno'!E40</f>
        <v/>
      </c>
      <c r="H15" s="874">
        <f>+G15*12</f>
        <v/>
      </c>
      <c r="I15" s="874">
        <f>+H15*'Hoja de CIERRE'!$AD$45</f>
        <v/>
      </c>
      <c r="J15" s="394" t="n"/>
      <c r="K15" s="875" t="n"/>
      <c r="N15" s="522" t="inlineStr">
        <is>
          <t>AMORTIZACIONES</t>
        </is>
      </c>
      <c r="O15" s="877">
        <f>'Presupuesto de VENTA'!J40</f>
        <v/>
      </c>
      <c r="P15" s="519" t="inlineStr">
        <is>
          <t>Dólar Estadounidense 3,80 $/u$s</t>
        </is>
      </c>
    </row>
    <row r="16" ht="35.1" customFormat="1" customHeight="1" s="144">
      <c r="B16" s="145" t="n"/>
      <c r="C16" s="204" t="n">
        <v>6</v>
      </c>
      <c r="D16" s="520" t="inlineStr">
        <is>
          <t>GASTOS GENERALES DE OPERACIÓN (DIRECTOS)</t>
        </is>
      </c>
      <c r="E16" s="878" t="n"/>
      <c r="F16" s="520" t="n"/>
      <c r="G16" s="874">
        <f>'Presupuesto Interno'!E48</f>
        <v/>
      </c>
      <c r="H16" s="874">
        <f>+G16*12</f>
        <v/>
      </c>
      <c r="I16" s="874">
        <f>+H16*'Hoja de CIERRE'!$AD$45</f>
        <v/>
      </c>
      <c r="J16" s="394" t="n"/>
      <c r="K16" s="875" t="n"/>
      <c r="L16" s="881" t="n"/>
      <c r="N16" s="522" t="inlineStr">
        <is>
          <t>SUBCONTRATACIONES + GTOS GRALES</t>
        </is>
      </c>
      <c r="O16" s="877">
        <f>1-SUM(O11:O15)</f>
        <v/>
      </c>
      <c r="P16" s="519" t="inlineStr">
        <is>
          <t>IPIM - NG Oct-09</t>
        </is>
      </c>
    </row>
    <row r="17" ht="17.4" customFormat="1" customHeight="1" s="144">
      <c r="B17" s="145" t="n"/>
      <c r="C17" s="204" t="n"/>
      <c r="D17" s="520" t="n"/>
      <c r="E17" s="878" t="n"/>
      <c r="F17" s="520" t="n"/>
      <c r="G17" s="874" t="n"/>
      <c r="H17" s="874" t="n"/>
      <c r="I17" s="874" t="n"/>
      <c r="J17" s="394" t="n"/>
      <c r="K17" s="875" t="n"/>
      <c r="L17" s="881" t="n"/>
    </row>
    <row r="18" ht="19.2" customFormat="1" customHeight="1" s="390">
      <c r="B18" s="391" t="n"/>
      <c r="C18" s="392" t="n"/>
      <c r="D18" s="709" t="inlineStr">
        <is>
          <t>TOTAL COSTOS DIRECTOS DE EXPLOTACIÓN</t>
        </is>
      </c>
      <c r="E18" s="846" t="n"/>
      <c r="F18" s="847" t="n"/>
      <c r="G18" s="882">
        <f>SUM(G11:G16)</f>
        <v/>
      </c>
      <c r="H18" s="882">
        <f>SUM(H11:H16)</f>
        <v/>
      </c>
      <c r="I18" s="882">
        <f>SUM(I11:I16)</f>
        <v/>
      </c>
      <c r="J18" s="394" t="n"/>
      <c r="K18" s="883" t="n"/>
      <c r="L18" s="526" t="n"/>
      <c r="M18" s="526" t="n"/>
      <c r="N18" s="526" t="n"/>
      <c r="O18" s="884">
        <f>+SUM(O11:O16)</f>
        <v/>
      </c>
    </row>
    <row r="19" ht="15" customFormat="1" customHeight="1" s="144">
      <c r="B19" s="145" t="n"/>
      <c r="C19" s="146" t="n"/>
      <c r="D19" s="151" t="n"/>
      <c r="E19" s="885" t="n"/>
      <c r="F19" s="146" t="n"/>
      <c r="G19" s="202" t="n"/>
      <c r="H19" s="202" t="n"/>
      <c r="I19" s="202" t="n"/>
      <c r="J19" s="153" t="n"/>
      <c r="K19" s="886" t="n"/>
      <c r="L19" s="155" t="n"/>
    </row>
    <row r="20" ht="17.4" customFormat="1" customHeight="1" s="144">
      <c r="B20" s="145" t="n"/>
      <c r="C20" s="146" t="n"/>
      <c r="D20" s="688" t="inlineStr">
        <is>
          <t>IMPUESTOS DIRECTOS DE FACTURACIÓN ====&gt;&gt;&gt;</t>
        </is>
      </c>
      <c r="G20" s="887">
        <f>'Presupuesto de VENTA'!G7</f>
        <v/>
      </c>
      <c r="H20" s="887">
        <f>+G20*12</f>
        <v/>
      </c>
      <c r="I20" s="887">
        <f>+H20*'Hoja de CIERRE'!$AD$45</f>
        <v/>
      </c>
      <c r="J20" s="156" t="n"/>
      <c r="K20" s="158" t="n"/>
      <c r="L20" s="159" t="n"/>
    </row>
    <row r="21" ht="15" customFormat="1" customHeight="1" s="144">
      <c r="B21" s="145" t="n"/>
      <c r="C21" s="146" t="n"/>
      <c r="D21" s="146" t="n"/>
      <c r="E21" s="146" t="n"/>
      <c r="F21" s="146" t="n"/>
      <c r="G21" s="146" t="n"/>
      <c r="H21" s="146" t="n"/>
      <c r="I21" s="146" t="n"/>
      <c r="J21" s="160" t="n"/>
      <c r="K21" s="161" t="n"/>
    </row>
    <row r="22" ht="35.1" customFormat="1" customHeight="1" s="390">
      <c r="B22" s="527" t="n"/>
      <c r="C22" s="528" t="n"/>
      <c r="D22" s="387" t="inlineStr">
        <is>
          <t>MARGEN BRUTO / UTILIDAD BRUTA</t>
        </is>
      </c>
      <c r="E22" s="888">
        <f>+G22/G24</f>
        <v/>
      </c>
      <c r="F22" s="847" t="n"/>
      <c r="G22" s="889">
        <f>+G24-G18-G20</f>
        <v/>
      </c>
      <c r="H22" s="889">
        <f>+G22*12</f>
        <v/>
      </c>
      <c r="I22" s="889">
        <f>+H22*'Hoja de CIERRE'!$AD$45</f>
        <v/>
      </c>
      <c r="J22" s="389" t="n"/>
      <c r="K22" s="529" t="n"/>
      <c r="L22" s="526" t="n"/>
      <c r="M22" s="526" t="n"/>
      <c r="N22" s="526" t="n"/>
      <c r="O22" s="526" t="n"/>
    </row>
    <row r="23" ht="8.25" customFormat="1" customHeight="1" s="144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60" t="n"/>
      <c r="K23" s="161" t="n"/>
    </row>
    <row r="24" ht="35.1" customFormat="1" customHeight="1" s="144">
      <c r="B24" s="145" t="n"/>
      <c r="C24" s="890" t="inlineStr">
        <is>
          <t>PRECIO DE VENTA TOTAL SIN IVA</t>
        </is>
      </c>
      <c r="D24" s="847" t="n"/>
      <c r="E24" s="891" t="inlineStr">
        <is>
          <t>(Costo + Impuestos + Utilidad)</t>
        </is>
      </c>
      <c r="F24" s="847" t="n"/>
      <c r="G24" s="892">
        <f>'Presupuesto de VENTA'!H7</f>
        <v/>
      </c>
      <c r="H24" s="892">
        <f>+G24*12</f>
        <v/>
      </c>
      <c r="I24" s="892">
        <f>+H24*'Hoja de CIERRE'!$AD$45</f>
        <v/>
      </c>
      <c r="J24" s="386" t="n"/>
      <c r="K24" s="161" t="n"/>
    </row>
    <row r="25" customFormat="1" s="144">
      <c r="B25" s="145" t="n"/>
      <c r="C25" s="162" t="n"/>
      <c r="D25" s="146" t="n"/>
      <c r="E25" s="893" t="n"/>
      <c r="F25" s="146" t="n"/>
      <c r="G25" s="894" t="n"/>
      <c r="H25" s="894" t="n"/>
      <c r="I25" s="894" t="n"/>
      <c r="J25" s="160" t="n"/>
      <c r="K25" s="161" t="n"/>
    </row>
    <row r="26" ht="15.6" customFormat="1" customHeight="1" s="144">
      <c r="B26" s="145" t="n"/>
      <c r="C26" s="181" t="inlineStr">
        <is>
          <t>I.V.A.</t>
        </is>
      </c>
      <c r="D26" s="157" t="n"/>
      <c r="E26" s="699" t="n">
        <v>0.21</v>
      </c>
      <c r="F26" s="895" t="n"/>
      <c r="G26" s="896">
        <f>G24*E26</f>
        <v/>
      </c>
      <c r="H26" s="896">
        <f>+G26*12</f>
        <v/>
      </c>
      <c r="I26" s="896">
        <f>+H26*'Hoja de CIERRE'!$AD$45</f>
        <v/>
      </c>
      <c r="J26" s="160" t="n"/>
      <c r="K26" s="161" t="n"/>
    </row>
    <row r="27" ht="15.6" customFormat="1" customHeight="1" s="144">
      <c r="B27" s="145" t="n"/>
      <c r="C27" s="181" t="n"/>
      <c r="D27" s="157" t="n"/>
      <c r="E27" s="157" t="n"/>
      <c r="F27" s="157" t="n"/>
      <c r="G27" s="897" t="n"/>
      <c r="H27" s="897" t="n"/>
      <c r="I27" s="897" t="n"/>
      <c r="J27" s="160" t="n"/>
      <c r="K27" s="161" t="n"/>
    </row>
    <row r="28" ht="21" customFormat="1" customHeight="1" s="144">
      <c r="B28" s="145" t="n"/>
      <c r="C28" s="181" t="inlineStr">
        <is>
          <t>PRECIO DE VENTA TOTAL CON I.V.A.</t>
        </is>
      </c>
      <c r="D28" s="157" t="n"/>
      <c r="E28" s="157" t="n"/>
      <c r="F28" s="157" t="n"/>
      <c r="G28" s="898">
        <f>+G24+G26</f>
        <v/>
      </c>
      <c r="H28" s="898">
        <f>+H24+H26</f>
        <v/>
      </c>
      <c r="I28" s="898">
        <f>+I24+I26</f>
        <v/>
      </c>
      <c r="J28" s="160" t="n"/>
      <c r="K28" s="161" t="n"/>
    </row>
    <row r="29" ht="15.6" customFormat="1" customHeight="1" s="144">
      <c r="B29" s="145" t="n"/>
      <c r="C29" s="162" t="n"/>
      <c r="D29" s="146" t="n"/>
      <c r="E29" s="146" t="n"/>
      <c r="F29" s="146" t="n"/>
      <c r="G29" s="874" t="n"/>
      <c r="H29" s="874" t="n"/>
      <c r="I29" s="874" t="n"/>
      <c r="J29" s="160" t="n"/>
      <c r="K29" s="161" t="n"/>
    </row>
    <row r="30" ht="15" customFormat="1" customHeight="1" s="144">
      <c r="B30" s="145" t="n"/>
      <c r="C30" s="146" t="n"/>
      <c r="D30" s="157" t="n"/>
      <c r="E30" s="165" t="n"/>
      <c r="F30" s="157" t="n"/>
      <c r="G30" s="157" t="n"/>
      <c r="H30" s="395" t="n"/>
      <c r="I30" s="157" t="n"/>
      <c r="J30" s="160" t="n"/>
      <c r="K30" s="161" t="n"/>
    </row>
    <row r="31" ht="21" customFormat="1" customHeight="1" s="134">
      <c r="B31" s="135" t="n"/>
      <c r="C31" s="687" t="inlineStr">
        <is>
          <t>VENTA NETA ( Despues de IVA e Impuestos Directos de Facturación)</t>
        </is>
      </c>
      <c r="F31" s="849" t="n"/>
      <c r="G31" s="899">
        <f>+G28-G26-G20</f>
        <v/>
      </c>
      <c r="H31" s="899">
        <f>+H28-H26-H20</f>
        <v/>
      </c>
      <c r="I31" s="899">
        <f>+I28-I26-I20</f>
        <v/>
      </c>
      <c r="J31" s="136" t="n"/>
      <c r="K31" s="137" t="n"/>
    </row>
    <row r="32" customFormat="1" s="144">
      <c r="B32" s="145" t="n"/>
      <c r="C32" s="162" t="n"/>
      <c r="D32" s="146" t="n"/>
      <c r="E32" s="893" t="n"/>
      <c r="F32" s="146" t="n"/>
      <c r="G32" s="894" t="n"/>
      <c r="H32" s="894" t="n"/>
      <c r="I32" s="894" t="n"/>
      <c r="J32" s="160" t="n"/>
      <c r="K32" s="161" t="n"/>
    </row>
    <row r="33" ht="30" customFormat="1" customHeight="1" s="134">
      <c r="B33" s="135" t="n"/>
      <c r="C33" s="686" t="inlineStr">
        <is>
          <t>GASTOS GENERALES DE ESTRUCTURA</t>
        </is>
      </c>
      <c r="E33" s="692" t="n">
        <v>0</v>
      </c>
      <c r="G33" s="900">
        <f>+G31*$E$33</f>
        <v/>
      </c>
      <c r="H33" s="900">
        <f>+H31*$E$33</f>
        <v/>
      </c>
      <c r="I33" s="900">
        <f>+I31*$E$33</f>
        <v/>
      </c>
      <c r="J33" s="136" t="n"/>
      <c r="K33" s="137" t="n"/>
    </row>
    <row r="34" customFormat="1" s="144">
      <c r="B34" s="145" t="n"/>
      <c r="C34" s="162" t="n"/>
      <c r="D34" s="146" t="n"/>
      <c r="E34" s="893" t="n"/>
      <c r="F34" s="146" t="n"/>
      <c r="G34" s="894" t="n"/>
      <c r="H34" s="894" t="n"/>
      <c r="I34" s="894" t="n"/>
      <c r="J34" s="160" t="n"/>
      <c r="K34" s="161" t="n"/>
    </row>
    <row r="35" ht="30" customFormat="1" customHeight="1" s="134">
      <c r="B35" s="248" t="n"/>
      <c r="C35" s="689" t="inlineStr">
        <is>
          <t>UTILIDAD NETA OPERATIVA MENSUAL</t>
        </is>
      </c>
      <c r="D35" s="846" t="n"/>
      <c r="E35" s="847" t="n"/>
      <c r="F35" s="306">
        <f>+G35/G31</f>
        <v/>
      </c>
      <c r="G35" s="901">
        <f>+G31-G18-G33</f>
        <v/>
      </c>
      <c r="H35" s="901">
        <f>+H31-H18-H33</f>
        <v/>
      </c>
      <c r="I35" s="901">
        <f>+I31-I18-I33</f>
        <v/>
      </c>
      <c r="J35" s="136" t="n"/>
      <c r="K35" s="137" t="n"/>
    </row>
    <row r="36" ht="30" customFormat="1" customHeight="1" s="134">
      <c r="B36" s="248" t="n"/>
      <c r="C36" s="693" t="inlineStr">
        <is>
          <t>UTILIDAD NETA OPERATIVA TOTAL (Acumulada)  - Estimación</t>
        </is>
      </c>
      <c r="D36" s="846" t="n"/>
      <c r="E36" s="847" t="n"/>
      <c r="F36" s="310" t="n"/>
      <c r="G36" s="902">
        <f>+I35</f>
        <v/>
      </c>
      <c r="H36" s="846" t="n"/>
      <c r="I36" s="847" t="n"/>
      <c r="J36" s="136" t="n"/>
      <c r="K36" s="137" t="n"/>
    </row>
    <row r="37" customFormat="1" s="144">
      <c r="B37" s="145" t="n"/>
      <c r="C37" s="162" t="n"/>
      <c r="D37" s="146" t="n"/>
      <c r="E37" s="893" t="n"/>
      <c r="F37" s="146" t="n"/>
      <c r="G37" s="894" t="n"/>
      <c r="H37" s="894" t="n"/>
      <c r="I37" s="894" t="n"/>
      <c r="J37" s="160" t="n"/>
      <c r="K37" s="161" t="n"/>
    </row>
    <row r="38" ht="20.1" customFormat="1" customHeight="1" s="134">
      <c r="B38" s="248" t="n"/>
      <c r="C38" s="693" t="inlineStr">
        <is>
          <t>(INVERSIÓN / FACTURACIÓN) ---- INVERSIÓN</t>
        </is>
      </c>
      <c r="D38" s="846" t="n"/>
      <c r="E38" s="847" t="n"/>
      <c r="F38" s="531">
        <f>+G38/$G$24</f>
        <v/>
      </c>
      <c r="G38" s="903">
        <f>+'5 AMORTIZACIÓN'!F89</f>
        <v/>
      </c>
      <c r="H38" s="904" t="n"/>
      <c r="I38" s="904" t="n"/>
      <c r="J38" s="136" t="n"/>
      <c r="L38" s="905" t="n"/>
    </row>
    <row r="39" ht="20.1" customFormat="1" customHeight="1" s="134">
      <c r="B39" s="248" t="n"/>
      <c r="C39" s="693" t="inlineStr">
        <is>
          <t>R.O.I. (RENTABILIDAD SOBRE LA INVERSIÓN)</t>
        </is>
      </c>
      <c r="D39" s="846" t="n"/>
      <c r="E39" s="846" t="n"/>
      <c r="F39" s="847" t="n"/>
      <c r="G39" s="534">
        <f>((G36/G38)/('Hoja de CIERRE'!$AD$45))</f>
        <v/>
      </c>
      <c r="H39" s="535" t="n"/>
      <c r="I39" s="535" t="n"/>
      <c r="J39" s="136" t="n"/>
      <c r="K39" s="137" t="n"/>
      <c r="L39" s="309" t="n"/>
    </row>
    <row r="40" ht="16.2" customHeight="1" thickBot="1">
      <c r="B40" s="129" t="n"/>
      <c r="C40" s="130" t="n"/>
      <c r="D40" s="130" t="n"/>
      <c r="E40" s="131" t="n"/>
      <c r="F40" s="130" t="n"/>
      <c r="G40" s="906" t="n"/>
      <c r="H40" s="906" t="n"/>
      <c r="I40" s="906" t="n"/>
      <c r="J40" s="133" t="n"/>
      <c r="K40" s="75" t="n"/>
    </row>
    <row r="42" ht="15.6" customHeight="1">
      <c r="B42" s="691" t="inlineStr">
        <is>
          <t>ANALISIS COMPARATIVO DE ITMS UNITARIOS</t>
        </is>
      </c>
      <c r="C42" s="846" t="n"/>
      <c r="D42" s="846" t="n"/>
      <c r="E42" s="846" t="n"/>
      <c r="F42" s="846" t="n"/>
      <c r="G42" s="846" t="n"/>
      <c r="H42" s="846" t="n"/>
      <c r="I42" s="846" t="n"/>
      <c r="J42" s="847" t="n"/>
    </row>
    <row r="43" ht="15" customHeight="1">
      <c r="B43" s="193" t="n"/>
      <c r="C43" s="193" t="n"/>
      <c r="D43" s="193" t="n"/>
      <c r="E43" s="193" t="n"/>
      <c r="F43" s="193" t="n"/>
      <c r="G43" s="193" t="n"/>
      <c r="H43" s="193" t="n"/>
      <c r="I43" s="193" t="n"/>
      <c r="J43" s="193" t="n"/>
    </row>
    <row r="44" ht="15" customHeight="1">
      <c r="B44" s="193" t="n"/>
      <c r="C44" s="193" t="n"/>
      <c r="D44" s="193" t="n"/>
      <c r="E44" s="684" t="inlineStr">
        <is>
          <t>COSTO MO</t>
        </is>
      </c>
      <c r="F44" s="684" t="inlineStr">
        <is>
          <t xml:space="preserve">PRECIO VENTA </t>
        </is>
      </c>
      <c r="G44" s="685" t="inlineStr">
        <is>
          <t>UTILIDAD NETA OPERATIVA</t>
        </is>
      </c>
      <c r="H44" s="684" t="n"/>
      <c r="I44" s="684" t="n"/>
      <c r="J44" s="684" t="inlineStr">
        <is>
          <t>MAKE-UP</t>
        </is>
      </c>
    </row>
    <row r="45" ht="15" customHeight="1">
      <c r="B45" s="193" t="n"/>
      <c r="C45" s="193" t="n"/>
      <c r="D45" s="193" t="n"/>
      <c r="E45" s="194" t="n"/>
      <c r="F45" s="194" t="n"/>
      <c r="G45" s="194" t="n"/>
      <c r="H45" s="194" t="n"/>
      <c r="I45" s="194" t="n"/>
      <c r="J45" s="194" t="n"/>
    </row>
    <row r="46" ht="31.5" customHeight="1">
      <c r="B46" s="697" t="inlineStr">
        <is>
          <t>POR HOMBRE (Ho)</t>
        </is>
      </c>
      <c r="E46" s="907">
        <f>+G11/F11</f>
        <v/>
      </c>
      <c r="F46" s="908">
        <f>+G24/F11</f>
        <v/>
      </c>
      <c r="G46" s="909">
        <f>+G35/F11</f>
        <v/>
      </c>
      <c r="H46" s="910" t="n"/>
      <c r="I46" s="910" t="n"/>
      <c r="J46" s="911">
        <f>+F46/E46</f>
        <v/>
      </c>
    </row>
    <row r="47" ht="15" customHeight="1">
      <c r="B47" s="193" t="n"/>
      <c r="C47" s="193" t="n"/>
      <c r="D47" s="193" t="n"/>
      <c r="E47" s="193" t="n"/>
      <c r="F47" s="305" t="n"/>
      <c r="G47" s="193" t="n"/>
      <c r="H47" s="193" t="n"/>
      <c r="I47" s="193" t="n"/>
      <c r="J47" s="193" t="n"/>
    </row>
    <row r="48" ht="31.5" customHeight="1">
      <c r="B48" s="697" t="inlineStr">
        <is>
          <t>POR HORA HOMRE (HH)</t>
        </is>
      </c>
      <c r="E48" s="907">
        <f>+G11/E11</f>
        <v/>
      </c>
      <c r="F48" s="908">
        <f>+G24/E11</f>
        <v/>
      </c>
      <c r="G48" s="909">
        <f>+G35/E11</f>
        <v/>
      </c>
      <c r="H48" s="910" t="n"/>
      <c r="I48" s="910" t="n"/>
      <c r="J48" s="911">
        <f>+F48/E48</f>
        <v/>
      </c>
    </row>
    <row r="49">
      <c r="B49" s="169" t="n"/>
      <c r="C49" s="169" t="n"/>
      <c r="D49" s="169" t="n"/>
      <c r="E49" s="169" t="n"/>
      <c r="F49" s="169" t="n"/>
      <c r="G49" s="169" t="n"/>
      <c r="H49" s="169" t="n"/>
      <c r="I49" s="169" t="n"/>
      <c r="J49" s="169" t="n"/>
    </row>
    <row r="52" ht="15" customHeight="1">
      <c r="B52" s="690" t="inlineStr">
        <is>
          <t>AUTORIZADO POR:</t>
        </is>
      </c>
    </row>
    <row r="53">
      <c r="B53" s="62" t="n"/>
      <c r="C53" s="62" t="n"/>
      <c r="D53" s="62" t="n"/>
      <c r="E53" s="62" t="n"/>
      <c r="F53" s="539" t="n"/>
      <c r="G53" s="912" t="n"/>
      <c r="H53" s="912" t="n"/>
      <c r="I53" s="912" t="n"/>
    </row>
    <row r="54" ht="15" customHeight="1">
      <c r="B54" s="685" t="inlineStr">
        <is>
          <t>FUNCIÓN/CARGO:</t>
        </is>
      </c>
      <c r="C54" s="169" t="n"/>
      <c r="D54" s="169" t="n"/>
      <c r="E54" s="169" t="n"/>
      <c r="F54" s="913" t="inlineStr">
        <is>
          <t>FIRMA:</t>
        </is>
      </c>
      <c r="G54" s="168" t="n"/>
      <c r="H54" s="168" t="n"/>
      <c r="I54" s="168" t="n"/>
      <c r="J54" s="169" t="n"/>
    </row>
    <row r="55" ht="15" customHeight="1">
      <c r="B55" s="194" t="n"/>
      <c r="C55" s="194" t="n"/>
      <c r="D55" s="194" t="n"/>
      <c r="E55" s="194" t="n"/>
      <c r="F55" s="914" t="n"/>
      <c r="G55" s="72" t="n"/>
      <c r="H55" s="72" t="n"/>
      <c r="I55" s="72" t="n"/>
    </row>
    <row r="56" ht="15" customHeight="1">
      <c r="B56" s="194" t="n"/>
      <c r="C56" s="194" t="n"/>
      <c r="D56" s="194" t="n"/>
      <c r="E56" s="194" t="n"/>
      <c r="F56" s="915" t="n"/>
      <c r="G56" s="72" t="n"/>
      <c r="H56" s="72" t="n"/>
      <c r="I56" s="72" t="n"/>
    </row>
    <row r="57" ht="15.6" customHeight="1">
      <c r="B57" s="188" t="inlineStr">
        <is>
          <t>COMENTARIOS:</t>
        </is>
      </c>
      <c r="C57" s="194" t="n"/>
      <c r="D57" s="194" t="n"/>
      <c r="E57" s="194" t="n"/>
      <c r="F57" s="915" t="n"/>
      <c r="G57" s="72" t="n"/>
      <c r="H57" s="72" t="n"/>
      <c r="I57" s="72" t="n"/>
    </row>
    <row r="58" ht="30" customHeight="1">
      <c r="B58" s="684" t="n"/>
      <c r="C58" s="169" t="n"/>
      <c r="D58" s="169" t="n"/>
      <c r="E58" s="169" t="n"/>
      <c r="F58" s="169" t="n"/>
      <c r="G58" s="169" t="n"/>
      <c r="H58" s="169" t="n"/>
      <c r="I58" s="169" t="n"/>
      <c r="J58" s="169" t="n"/>
    </row>
    <row r="59" ht="30" customHeight="1">
      <c r="B59" s="684" t="n"/>
      <c r="C59" s="169" t="n"/>
      <c r="D59" s="169" t="n"/>
      <c r="E59" s="169" t="n"/>
      <c r="F59" s="169" t="n"/>
      <c r="G59" s="169" t="n"/>
      <c r="H59" s="169" t="n"/>
      <c r="I59" s="169" t="n"/>
      <c r="J59" s="169" t="n"/>
    </row>
    <row r="60" ht="30" customHeight="1">
      <c r="B60" s="684" t="n"/>
      <c r="C60" s="169" t="n"/>
      <c r="D60" s="169" t="n"/>
      <c r="E60" s="169" t="n"/>
      <c r="F60" s="169" t="n"/>
      <c r="G60" s="169" t="n"/>
      <c r="H60" s="169" t="n"/>
      <c r="I60" s="169" t="n"/>
      <c r="J60" s="169" t="n"/>
    </row>
    <row r="61" ht="30" customHeight="1">
      <c r="B61" s="684" t="n"/>
      <c r="C61" s="169" t="n"/>
      <c r="D61" s="169" t="n"/>
      <c r="E61" s="169" t="n"/>
      <c r="F61" s="169" t="n"/>
      <c r="G61" s="169" t="n"/>
      <c r="H61" s="169" t="n"/>
      <c r="I61" s="169" t="n"/>
      <c r="J61" s="169" t="n"/>
    </row>
    <row r="62" ht="30" customHeight="1">
      <c r="B62" s="684" t="n"/>
      <c r="C62" s="169" t="n"/>
      <c r="D62" s="169" t="n"/>
      <c r="E62" s="169" t="n"/>
      <c r="F62" s="169" t="n"/>
      <c r="G62" s="169" t="n"/>
      <c r="H62" s="169" t="n"/>
      <c r="I62" s="169" t="n"/>
      <c r="J62" s="169" t="n"/>
    </row>
    <row r="63" ht="30" customHeight="1">
      <c r="B63" s="684" t="n"/>
      <c r="C63" s="169" t="n"/>
      <c r="D63" s="169" t="n"/>
      <c r="E63" s="169" t="n"/>
      <c r="F63" s="169" t="n"/>
      <c r="G63" s="169" t="n"/>
      <c r="H63" s="169" t="n"/>
      <c r="I63" s="169" t="n"/>
      <c r="J63" s="169" t="n"/>
    </row>
    <row r="64" ht="30" customHeight="1">
      <c r="B64" s="684" t="n"/>
      <c r="C64" s="169" t="n"/>
      <c r="D64" s="169" t="n"/>
      <c r="E64" s="169" t="n"/>
      <c r="F64" s="169" t="n"/>
      <c r="G64" s="169" t="n"/>
      <c r="H64" s="169" t="n"/>
      <c r="I64" s="169" t="n"/>
      <c r="J64" s="169" t="n"/>
    </row>
    <row r="65" ht="30" customHeight="1">
      <c r="B65" s="684" t="n"/>
      <c r="C65" s="169" t="n"/>
      <c r="D65" s="169" t="n"/>
      <c r="E65" s="169" t="n"/>
      <c r="F65" s="169" t="n"/>
      <c r="G65" s="169" t="n"/>
      <c r="H65" s="169" t="n"/>
      <c r="I65" s="169" t="n"/>
      <c r="J65" s="169" t="n"/>
    </row>
    <row r="66" ht="30" customHeight="1">
      <c r="B66" s="684" t="n"/>
      <c r="C66" s="169" t="n"/>
      <c r="D66" s="169" t="n"/>
      <c r="E66" s="169" t="n"/>
      <c r="F66" s="169" t="n"/>
      <c r="G66" s="169" t="n"/>
      <c r="H66" s="169" t="n"/>
      <c r="I66" s="169" t="n"/>
      <c r="J66" s="169" t="n"/>
    </row>
    <row r="67" ht="30" customHeight="1">
      <c r="B67" s="684" t="n"/>
      <c r="C67" s="169" t="n"/>
      <c r="D67" s="169" t="n"/>
      <c r="E67" s="169" t="n"/>
      <c r="F67" s="169" t="n"/>
      <c r="G67" s="169" t="n"/>
      <c r="H67" s="169" t="n"/>
      <c r="I67" s="169" t="n"/>
      <c r="J67" s="169" t="n"/>
    </row>
    <row r="68" ht="30" customHeight="1">
      <c r="B68" s="684" t="n"/>
      <c r="C68" s="169" t="n"/>
      <c r="D68" s="169" t="n"/>
      <c r="E68" s="169" t="n"/>
      <c r="F68" s="169" t="n"/>
      <c r="G68" s="169" t="n"/>
      <c r="H68" s="169" t="n"/>
      <c r="I68" s="169" t="n"/>
      <c r="J68" s="169" t="n"/>
    </row>
    <row r="69">
      <c r="B69" s="180" t="n"/>
      <c r="F69" s="823" t="n"/>
      <c r="G69" s="72" t="n"/>
      <c r="H69" s="72" t="n"/>
      <c r="I69" s="72" t="n"/>
      <c r="J69" s="73" t="n"/>
    </row>
  </sheetData>
  <mergeCells count="37">
    <mergeCell ref="C24:D24"/>
    <mergeCell ref="B67:J67"/>
    <mergeCell ref="C39:F39"/>
    <mergeCell ref="B42:J42"/>
    <mergeCell ref="C33:D33"/>
    <mergeCell ref="E24:F24"/>
    <mergeCell ref="B3:B4"/>
    <mergeCell ref="E33:F33"/>
    <mergeCell ref="B60:J60"/>
    <mergeCell ref="B61:J61"/>
    <mergeCell ref="B1:J1"/>
    <mergeCell ref="C3:H4"/>
    <mergeCell ref="C36:E36"/>
    <mergeCell ref="C2:H2"/>
    <mergeCell ref="C10:D10"/>
    <mergeCell ref="B54:E54"/>
    <mergeCell ref="D18:F18"/>
    <mergeCell ref="B65:J65"/>
    <mergeCell ref="B68:J68"/>
    <mergeCell ref="C38:E38"/>
    <mergeCell ref="B64:J64"/>
    <mergeCell ref="B52:E52"/>
    <mergeCell ref="B63:J63"/>
    <mergeCell ref="E26:F26"/>
    <mergeCell ref="D20:F20"/>
    <mergeCell ref="B62:J62"/>
    <mergeCell ref="C6:H6"/>
    <mergeCell ref="C31:F31"/>
    <mergeCell ref="G36:I36"/>
    <mergeCell ref="B59:J59"/>
    <mergeCell ref="B46:D46"/>
    <mergeCell ref="C5:H5"/>
    <mergeCell ref="B66:J66"/>
    <mergeCell ref="E22:F22"/>
    <mergeCell ref="C35:E35"/>
    <mergeCell ref="B58:J58"/>
    <mergeCell ref="B48:D48"/>
  </mergeCells>
  <printOptions horizontalCentered="1"/>
  <pageMargins left="0.7874015748031497" right="0.3937007874015748" top="0.5905511811023623" bottom="0.5905511811023623" header="0" footer="0"/>
  <pageSetup orientation="portrait" paperSize="9" scale="44" horizontalDpi="300" verticalDpi="300"/>
  <headerFooter alignWithMargins="0">
    <oddHeader/>
    <oddFooter>&amp;L&amp;P - &amp;N CONFIDENCIAL&amp;R&amp;F - 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Z134"/>
  <sheetViews>
    <sheetView showGridLines="0" tabSelected="1" view="pageBreakPreview" zoomScale="60" zoomScaleNormal="75" zoomScaleSheetLayoutView="100" workbookViewId="0">
      <selection activeCell="G15" sqref="G15"/>
    </sheetView>
  </sheetViews>
  <sheetFormatPr baseColWidth="10" defaultColWidth="11.44140625" defaultRowHeight="13.2"/>
  <cols>
    <col width="2.44140625" customWidth="1" min="1" max="1"/>
    <col width="4.5546875" customWidth="1" min="2" max="2"/>
    <col width="14" customWidth="1" min="3" max="3"/>
    <col width="54.109375" bestFit="1" customWidth="1" min="4" max="4"/>
    <col width="20.33203125" customWidth="1" min="5" max="5"/>
    <col width="22.109375" bestFit="1" customWidth="1" min="6" max="6"/>
    <col width="19.109375" customWidth="1" style="823" min="7" max="7"/>
    <col width="28.6640625" bestFit="1" customWidth="1" style="777" min="8" max="8"/>
    <col width="18" bestFit="1" customWidth="1" min="9" max="9"/>
    <col width="29.6640625" bestFit="1" customWidth="1" style="823" min="10" max="10"/>
    <col width="23.88671875" customWidth="1" style="823" min="11" max="11"/>
    <col width="23" bestFit="1" customWidth="1" min="12" max="12"/>
    <col width="23" customWidth="1" min="13" max="13"/>
    <col width="34.88671875" bestFit="1" customWidth="1" min="14" max="14"/>
    <col width="28" customWidth="1" min="15" max="15"/>
    <col width="17" bestFit="1" customWidth="1" min="16" max="16"/>
    <col width="12.6640625" bestFit="1" customWidth="1" min="17" max="17"/>
    <col width="13.44140625" bestFit="1" customWidth="1" min="18" max="18"/>
    <col width="12" bestFit="1" customWidth="1" min="19" max="19"/>
    <col width="14" bestFit="1" customWidth="1" min="21" max="21"/>
    <col width="11.44140625" customWidth="1" style="861" min="22" max="22"/>
    <col width="14.44140625" bestFit="1" customWidth="1" style="861" min="24" max="24"/>
    <col width="14.6640625" bestFit="1" customWidth="1" min="25" max="25"/>
    <col width="14" bestFit="1" customWidth="1" min="26" max="26"/>
  </cols>
  <sheetData>
    <row r="1" ht="45.75" customHeight="1" thickBot="1">
      <c r="B1" s="916" t="inlineStr">
        <is>
          <t>PRESUPUESTO INTERNO DE VENTA</t>
        </is>
      </c>
      <c r="C1" s="917" t="n"/>
      <c r="D1" s="917" t="n"/>
      <c r="E1" s="917" t="n"/>
      <c r="F1" s="917" t="n"/>
      <c r="G1" s="917" t="n"/>
      <c r="H1" s="917" t="n"/>
      <c r="I1" s="917" t="n"/>
      <c r="J1" s="17" t="n"/>
    </row>
    <row r="2" ht="35.1" customHeight="1">
      <c r="B2" s="254" t="n"/>
      <c r="C2" s="540" t="inlineStr">
        <is>
          <t>CLIENTE:</t>
        </is>
      </c>
      <c r="D2" s="725">
        <f>+'Sintesis Economica'!C2</f>
        <v/>
      </c>
      <c r="E2" s="169" t="n"/>
      <c r="F2" s="169" t="n"/>
      <c r="G2" s="169" t="n"/>
      <c r="H2" s="856" t="n"/>
      <c r="I2" s="252" t="inlineStr">
        <is>
          <t>J. de PROYECTO:</t>
        </is>
      </c>
      <c r="J2" s="249">
        <f>+'Sintesis Economica'!J2</f>
        <v/>
      </c>
      <c r="L2" s="490" t="n"/>
      <c r="M2" s="490" t="n"/>
      <c r="Y2" s="918" t="n"/>
      <c r="Z2" s="918" t="n"/>
    </row>
    <row r="3" ht="15.6" customHeight="1">
      <c r="B3" s="254" t="n"/>
      <c r="C3" s="540" t="inlineStr">
        <is>
          <t>OBRA :</t>
        </is>
      </c>
      <c r="D3" s="726">
        <f>+'Sintesis Economica'!C3</f>
        <v/>
      </c>
      <c r="E3" s="846" t="n"/>
      <c r="F3" s="846" t="n"/>
      <c r="G3" s="846" t="n"/>
      <c r="H3" s="847" t="n"/>
      <c r="I3" s="252" t="inlineStr">
        <is>
          <t>Elaboró:</t>
        </is>
      </c>
      <c r="J3" s="250">
        <f>+'Sintesis Economica'!J3</f>
        <v/>
      </c>
      <c r="L3" s="919" t="n"/>
      <c r="M3" s="919" t="n"/>
      <c r="Y3" s="918" t="n"/>
      <c r="Z3" s="918" t="n"/>
    </row>
    <row r="4" ht="36.75" customHeight="1">
      <c r="B4" s="254" t="n"/>
      <c r="C4" s="540" t="inlineStr">
        <is>
          <t>PLIEGO / E.T.P.:</t>
        </is>
      </c>
      <c r="D4" s="726">
        <f>+'Sintesis Economica'!C5</f>
        <v/>
      </c>
      <c r="E4" s="846" t="n"/>
      <c r="F4" s="846" t="n"/>
      <c r="G4" s="846" t="n"/>
      <c r="H4" s="847" t="n"/>
      <c r="I4" s="252" t="inlineStr">
        <is>
          <t>Revisó:</t>
        </is>
      </c>
      <c r="J4" s="250">
        <f>+'Sintesis Economica'!J4</f>
        <v/>
      </c>
      <c r="L4" s="920" t="n"/>
      <c r="M4" s="920" t="n"/>
      <c r="Y4" s="918" t="n"/>
      <c r="Z4" s="918" t="n"/>
    </row>
    <row r="5" ht="36.75" customHeight="1" thickBot="1">
      <c r="B5" s="255" t="n"/>
      <c r="C5" s="543" t="inlineStr">
        <is>
          <t>OFERTA N°:</t>
        </is>
      </c>
      <c r="D5" s="727">
        <f>+'Sintesis Economica'!C6</f>
        <v/>
      </c>
      <c r="E5" s="921" t="n"/>
      <c r="F5" s="921" t="n"/>
      <c r="G5" s="921" t="n"/>
      <c r="H5" s="922" t="n"/>
      <c r="I5" s="253" t="inlineStr">
        <is>
          <t>Fecha:</t>
        </is>
      </c>
      <c r="J5" s="923">
        <f>+'Sintesis Economica'!J5</f>
        <v/>
      </c>
      <c r="Y5" s="918" t="n"/>
      <c r="Z5" s="918" t="n"/>
    </row>
    <row r="6" ht="36.75" customHeight="1" thickBot="1">
      <c r="B6" s="4" t="n"/>
      <c r="C6" s="4" t="n"/>
      <c r="D6" s="4" t="n"/>
      <c r="E6" s="4" t="n"/>
      <c r="F6" s="4" t="n"/>
      <c r="H6" s="924">
        <f>6*H7</f>
        <v/>
      </c>
      <c r="L6" s="918" t="n"/>
      <c r="M6" s="918" t="n"/>
      <c r="N6" s="918" t="n"/>
      <c r="Y6" s="918" t="n"/>
      <c r="Z6" s="918" t="n"/>
    </row>
    <row r="7" ht="36.75" customHeight="1" thickBot="1">
      <c r="B7" s="925" t="inlineStr">
        <is>
          <t>MARGEN BRUTO FINAL</t>
        </is>
      </c>
      <c r="C7" s="17" t="n"/>
      <c r="D7" s="730" t="inlineStr">
        <is>
          <t>PRECIO DE VENTA CON IMPUESTOS</t>
        </is>
      </c>
      <c r="E7" s="917" t="n"/>
      <c r="F7" s="544">
        <f>+(5+1.2+0.5)%</f>
        <v/>
      </c>
      <c r="G7" s="926">
        <f>-H11+H11/(1-F7)</f>
        <v/>
      </c>
      <c r="H7" s="927">
        <f>+H11+G7</f>
        <v/>
      </c>
      <c r="I7" s="927">
        <f>+H7/$E$9</f>
        <v/>
      </c>
      <c r="J7" s="928">
        <f>H7*12</f>
        <v/>
      </c>
      <c r="K7" s="929">
        <f>I7/28000</f>
        <v/>
      </c>
      <c r="L7" s="477" t="n"/>
      <c r="M7" s="929" t="n"/>
      <c r="N7" s="929" t="n"/>
      <c r="O7" s="929" t="n"/>
      <c r="Y7" s="918" t="n"/>
      <c r="Z7" s="918" t="n"/>
    </row>
    <row r="8" ht="36.75" customHeight="1" thickBot="1">
      <c r="B8" s="4" t="n"/>
      <c r="C8" s="4" t="n"/>
      <c r="D8" s="4" t="n"/>
      <c r="E8" s="4" t="n"/>
      <c r="F8" s="4" t="n"/>
      <c r="H8" s="924">
        <f>H7-H41-H74</f>
        <v/>
      </c>
      <c r="I8" s="924">
        <f>H8/E9</f>
        <v/>
      </c>
      <c r="J8" s="201" t="n"/>
      <c r="L8" s="477" t="n"/>
      <c r="M8" s="477" t="n"/>
      <c r="N8" s="477" t="n"/>
      <c r="O8" s="477" t="n"/>
      <c r="Y8" s="918" t="n"/>
      <c r="Z8" s="918" t="n"/>
    </row>
    <row r="9" ht="36.75" customHeight="1" thickBot="1">
      <c r="B9" s="930">
        <f>+(H7-F11-G7)/H7</f>
        <v/>
      </c>
      <c r="C9" s="17" t="n"/>
      <c r="D9" s="931" t="inlineStr">
        <is>
          <t>DOTACIÓN</t>
        </is>
      </c>
      <c r="E9" s="932">
        <f>'Presupuesto Interno'!D7</f>
        <v/>
      </c>
      <c r="F9" s="933" t="inlineStr">
        <is>
          <t>COSTOS</t>
        </is>
      </c>
      <c r="G9" s="82" t="inlineStr">
        <is>
          <t>MARGEN BRUTO (sin impuestos)</t>
        </is>
      </c>
      <c r="H9" s="934" t="inlineStr">
        <is>
          <t>PRECIO VENTA (sin impuestos)</t>
        </is>
      </c>
      <c r="I9" s="935" t="inlineStr">
        <is>
          <t>PRECIO VENTA 
POR H-H</t>
        </is>
      </c>
      <c r="J9" s="935" t="inlineStr">
        <is>
          <t>% DE DISTRIBUCIÓN</t>
        </is>
      </c>
      <c r="K9" s="936" t="n"/>
      <c r="L9" s="201">
        <f>(H7-G7)/F11-1</f>
        <v/>
      </c>
      <c r="M9" s="201" t="n"/>
      <c r="N9" s="937" t="inlineStr">
        <is>
          <t>MARGEN BRUTO TRADICIONAL</t>
        </is>
      </c>
      <c r="O9" s="937" t="inlineStr">
        <is>
          <t>factor he</t>
        </is>
      </c>
      <c r="P9" s="318" t="n"/>
      <c r="Q9" t="inlineStr">
        <is>
          <t>2 OP</t>
        </is>
      </c>
      <c r="R9" s="517" t="n"/>
      <c r="S9" s="861" t="n"/>
      <c r="U9" s="88" t="n"/>
      <c r="Y9" s="918" t="n"/>
      <c r="Z9" s="918" t="n"/>
    </row>
    <row r="10" ht="36.75" customHeight="1" thickBot="1">
      <c r="B10" s="4" t="n"/>
      <c r="C10" s="4" t="n"/>
      <c r="D10" s="4" t="n"/>
      <c r="E10" s="4" t="n"/>
      <c r="F10" s="4" t="n"/>
      <c r="L10" s="545" t="n"/>
      <c r="M10" s="545" t="n"/>
      <c r="N10" s="938" t="n"/>
      <c r="O10" s="939" t="inlineStr">
        <is>
          <t>Bruto</t>
        </is>
      </c>
      <c r="P10" s="516" t="inlineStr">
        <is>
          <t>General</t>
        </is>
      </c>
      <c r="Q10" s="516" t="inlineStr">
        <is>
          <t>Total</t>
        </is>
      </c>
      <c r="R10" s="517" t="n"/>
      <c r="S10" s="861" t="n"/>
      <c r="Y10" s="918" t="n"/>
      <c r="Z10" s="918" t="n"/>
    </row>
    <row r="11" ht="36.75" customHeight="1" thickBot="1">
      <c r="B11" s="940" t="inlineStr">
        <is>
          <t>ITEMS</t>
        </is>
      </c>
      <c r="C11" s="917" t="n"/>
      <c r="D11" s="917" t="n"/>
      <c r="E11" s="17" t="n"/>
      <c r="F11" s="941">
        <f>F13+F19+F25+F33+F40+F48</f>
        <v/>
      </c>
      <c r="G11" s="247">
        <f>+(H11-F11)/H11</f>
        <v/>
      </c>
      <c r="H11" s="942">
        <f>+H13+H19+H25+H33+H40+H48</f>
        <v/>
      </c>
      <c r="I11" s="942">
        <f>H11/$E$9</f>
        <v/>
      </c>
      <c r="J11" s="43">
        <f>+SUM(J13:J48)</f>
        <v/>
      </c>
      <c r="L11" s="547" t="n"/>
      <c r="M11" s="936" t="n"/>
      <c r="N11" s="943">
        <f>'1 MANO DE OBRA'!B17</f>
        <v/>
      </c>
      <c r="O11" s="944">
        <f>'1 MANO DE OBRA'!F17</f>
        <v/>
      </c>
      <c r="P11" s="945">
        <f>$L$4</f>
        <v/>
      </c>
      <c r="Q11" s="946">
        <f>O11+P11</f>
        <v/>
      </c>
      <c r="R11" s="947">
        <f>AVERAGE(Q11:Q12)</f>
        <v/>
      </c>
      <c r="S11" s="861" t="n"/>
      <c r="U11" s="948" t="n"/>
      <c r="Y11" s="918" t="n"/>
      <c r="Z11" s="918" t="n"/>
    </row>
    <row r="12" ht="36.75" customHeight="1" thickBot="1">
      <c r="B12" s="843" t="n"/>
      <c r="C12" s="843" t="n"/>
      <c r="D12" s="843" t="n"/>
      <c r="E12" s="843" t="n"/>
      <c r="F12" s="843" t="n"/>
      <c r="G12" s="44" t="n"/>
      <c r="H12" s="949" t="n"/>
      <c r="M12" s="936" t="n"/>
      <c r="N12" s="943">
        <f>'1 MANO DE OBRA'!B18</f>
        <v/>
      </c>
      <c r="O12" s="944">
        <f>'1 MANO DE OBRA'!F18</f>
        <v/>
      </c>
      <c r="P12" s="945">
        <f>$L$4</f>
        <v/>
      </c>
      <c r="Q12" s="946">
        <f>O12+P12</f>
        <v/>
      </c>
      <c r="R12" s="947" t="n"/>
      <c r="S12" s="950" t="n"/>
      <c r="T12" s="73" t="n"/>
      <c r="U12" s="948" t="n"/>
      <c r="Y12" s="918" t="n"/>
      <c r="Z12" s="918" t="n"/>
    </row>
    <row r="13" ht="36.75" customHeight="1" thickBot="1">
      <c r="B13" s="737" t="inlineStr">
        <is>
          <t>1- MANO DE OBRA</t>
        </is>
      </c>
      <c r="C13" s="846" t="n"/>
      <c r="D13" s="846" t="n"/>
      <c r="E13" s="5" t="n"/>
      <c r="F13" s="951">
        <f>SUM(F14:F17)</f>
        <v/>
      </c>
      <c r="G13" s="47">
        <f>+(H13-F13)/H13</f>
        <v/>
      </c>
      <c r="H13" s="952">
        <f>SUM(H14:H17)</f>
        <v/>
      </c>
      <c r="I13" s="952">
        <f>H13/$E$9</f>
        <v/>
      </c>
      <c r="J13" s="63">
        <f>+H13/$H$7</f>
        <v/>
      </c>
      <c r="K13" s="63" t="n">
        <v>0.765868646770703</v>
      </c>
      <c r="L13" s="936" t="n"/>
      <c r="M13" s="936" t="n"/>
      <c r="N13" s="943">
        <f>'1 MANO DE OBRA'!B19</f>
        <v/>
      </c>
      <c r="O13" s="944">
        <f>'1 MANO DE OBRA'!F19</f>
        <v/>
      </c>
      <c r="P13" s="945">
        <f>$L$4</f>
        <v/>
      </c>
      <c r="Q13" s="946">
        <f>(O13+P13)*1.1</f>
        <v/>
      </c>
      <c r="R13" s="953">
        <f>Q13</f>
        <v/>
      </c>
      <c r="S13" s="950">
        <f>R13/R11</f>
        <v/>
      </c>
      <c r="U13" s="948" t="n"/>
      <c r="Y13" s="918" t="n"/>
      <c r="Z13" s="918" t="n"/>
    </row>
    <row r="14" ht="36.75" customHeight="1">
      <c r="B14" s="4" t="n"/>
      <c r="C14" s="4" t="n"/>
      <c r="D14" s="6">
        <f>+'Presupuesto Interno'!C12</f>
        <v/>
      </c>
      <c r="E14" s="549" t="n"/>
      <c r="F14" s="954">
        <f>+'Presupuesto Interno'!E12</f>
        <v/>
      </c>
      <c r="G14" s="480" t="n">
        <v>0.18</v>
      </c>
      <c r="H14" s="955">
        <f>+F14/(1-G14)</f>
        <v/>
      </c>
      <c r="I14" s="920" t="n"/>
      <c r="L14" s="936" t="n"/>
      <c r="M14" s="936" t="n"/>
      <c r="N14" s="943" t="n"/>
      <c r="O14" s="944" t="n"/>
      <c r="P14" s="945" t="n"/>
      <c r="Q14" s="946" t="n"/>
      <c r="S14" s="956" t="n"/>
      <c r="U14" s="948" t="n"/>
      <c r="Y14" s="918" t="n"/>
      <c r="Z14" s="918" t="n"/>
    </row>
    <row r="15" ht="36.75" customHeight="1">
      <c r="B15" s="4" t="n"/>
      <c r="C15" s="4" t="n"/>
      <c r="D15" s="6">
        <f>+'Presupuesto Interno'!C13</f>
        <v/>
      </c>
      <c r="E15" s="549" t="n"/>
      <c r="F15" s="954">
        <f>+'Presupuesto Interno'!E13</f>
        <v/>
      </c>
      <c r="G15" s="211" t="n">
        <v>0.15</v>
      </c>
      <c r="H15" s="955">
        <f>+F15/(1-G15)</f>
        <v/>
      </c>
      <c r="J15" s="957">
        <f>F15/$E$9</f>
        <v/>
      </c>
      <c r="L15" s="936" t="n"/>
      <c r="M15" s="936" t="n"/>
      <c r="Q15" s="918" t="n"/>
      <c r="Y15" s="861" t="n"/>
      <c r="Z15" s="861" t="n"/>
    </row>
    <row r="16" ht="36.75" customHeight="1">
      <c r="B16" s="4" t="n"/>
      <c r="C16" s="4" t="n"/>
      <c r="D16" s="6">
        <f>+'Presupuesto Interno'!C14</f>
        <v/>
      </c>
      <c r="E16" s="550" t="n"/>
      <c r="F16" s="954">
        <f>+'Presupuesto Interno'!E14</f>
        <v/>
      </c>
      <c r="G16" s="211" t="n">
        <v>0.04</v>
      </c>
      <c r="H16" s="955">
        <f>+F16/(1-G16)</f>
        <v/>
      </c>
      <c r="L16" s="936" t="n"/>
      <c r="M16" s="936" t="n"/>
      <c r="Q16" s="918" t="n"/>
      <c r="Z16" s="958" t="n"/>
    </row>
    <row r="17" ht="36.75" customHeight="1">
      <c r="B17" s="4" t="n"/>
      <c r="C17" s="4" t="n"/>
      <c r="D17" s="6">
        <f>+'Presupuesto Interno'!C15</f>
        <v/>
      </c>
      <c r="E17" s="549" t="n"/>
      <c r="F17" s="954">
        <f>+'Presupuesto Interno'!E15</f>
        <v/>
      </c>
      <c r="G17" s="211" t="n">
        <v>0.04</v>
      </c>
      <c r="H17" s="955">
        <f>+F17/(1-G17)</f>
        <v/>
      </c>
      <c r="L17" s="936" t="n"/>
      <c r="M17" s="936" t="n"/>
      <c r="Q17" s="918" t="n"/>
    </row>
    <row r="18" ht="6" customHeight="1" thickBot="1">
      <c r="B18" s="4" t="n"/>
      <c r="C18" s="4" t="n"/>
      <c r="D18" s="4" t="n"/>
      <c r="E18" s="8" t="n"/>
      <c r="F18" s="959" t="n"/>
      <c r="G18" s="44" t="n"/>
      <c r="H18" s="960" t="n"/>
      <c r="L18" s="936" t="n"/>
      <c r="M18" s="936" t="n"/>
      <c r="Q18" s="918" t="n"/>
    </row>
    <row r="19" ht="19.8" customHeight="1" thickBot="1">
      <c r="B19" s="737" t="inlineStr">
        <is>
          <t>2- SUMINISTRO DE MATERIALES</t>
        </is>
      </c>
      <c r="C19" s="846" t="n"/>
      <c r="D19" s="846" t="n"/>
      <c r="E19" s="7" t="n"/>
      <c r="F19" s="951">
        <f>SUM(F20:F23)</f>
        <v/>
      </c>
      <c r="G19" s="47">
        <f>+(H19-F19)/H19</f>
        <v/>
      </c>
      <c r="H19" s="952">
        <f>SUM(H20:H23)</f>
        <v/>
      </c>
      <c r="I19" s="952">
        <f>H19/$E$9</f>
        <v/>
      </c>
      <c r="J19" s="63">
        <f>+H19/$H$7</f>
        <v/>
      </c>
      <c r="K19" s="63" t="n">
        <v>0</v>
      </c>
      <c r="L19" s="936" t="n"/>
      <c r="M19" s="936" t="n"/>
      <c r="Q19" s="918" t="n"/>
    </row>
    <row r="20">
      <c r="B20" s="4" t="n"/>
      <c r="C20" s="4" t="n"/>
      <c r="D20" s="6">
        <f>+'Presupuesto Interno'!C20</f>
        <v/>
      </c>
      <c r="E20" s="7" t="n"/>
      <c r="F20" s="954">
        <f>+'Presupuesto Interno'!E20</f>
        <v/>
      </c>
      <c r="G20" s="211" t="n">
        <v>0</v>
      </c>
      <c r="H20" s="955">
        <f>+F20/(1-G20)</f>
        <v/>
      </c>
      <c r="I20" s="920" t="n"/>
      <c r="L20" s="936" t="n"/>
      <c r="M20" s="936" t="n"/>
      <c r="Q20" s="918" t="n"/>
    </row>
    <row r="21">
      <c r="B21" s="4" t="n"/>
      <c r="C21" s="4" t="n"/>
      <c r="D21" s="6">
        <f>+'Presupuesto Interno'!C21</f>
        <v/>
      </c>
      <c r="E21" s="7" t="n"/>
      <c r="F21" s="954">
        <f>+'Presupuesto Interno'!E21</f>
        <v/>
      </c>
      <c r="G21" s="211" t="n">
        <v>0</v>
      </c>
      <c r="H21" s="955">
        <f>+F21/(1-G21)</f>
        <v/>
      </c>
      <c r="L21" s="936" t="n"/>
      <c r="M21" s="936" t="n"/>
      <c r="Q21" s="918" t="n"/>
    </row>
    <row r="22">
      <c r="B22" s="4" t="n"/>
      <c r="C22" s="4" t="n"/>
      <c r="D22" s="6">
        <f>+'Presupuesto Interno'!C22</f>
        <v/>
      </c>
      <c r="E22" s="7" t="n"/>
      <c r="F22" s="954">
        <f>+'Presupuesto Interno'!E22</f>
        <v/>
      </c>
      <c r="G22" s="211" t="n">
        <v>0</v>
      </c>
      <c r="H22" s="955">
        <f>+F22/(1-G22)</f>
        <v/>
      </c>
      <c r="L22" s="936" t="n"/>
      <c r="M22" s="936" t="n"/>
      <c r="Q22" s="918" t="n"/>
    </row>
    <row r="23">
      <c r="B23" s="4" t="n"/>
      <c r="C23" s="4" t="n"/>
      <c r="D23" s="6">
        <f>+'Presupuesto Interno'!C23</f>
        <v/>
      </c>
      <c r="E23" s="7" t="n"/>
      <c r="F23" s="954">
        <f>+'Presupuesto Interno'!E23</f>
        <v/>
      </c>
      <c r="G23" s="211" t="n">
        <v>0</v>
      </c>
      <c r="H23" s="955">
        <f>+F23/(1-G23)</f>
        <v/>
      </c>
      <c r="L23" s="936" t="n"/>
      <c r="M23" s="936" t="n"/>
      <c r="Q23" s="918" t="n"/>
    </row>
    <row r="24" ht="6" customHeight="1" thickBot="1">
      <c r="B24" s="4" t="n"/>
      <c r="C24" s="4" t="n"/>
      <c r="D24" s="4" t="n"/>
      <c r="E24" s="8" t="n"/>
      <c r="F24" s="959" t="n"/>
      <c r="G24" s="44" t="n"/>
      <c r="H24" s="960" t="n"/>
      <c r="L24" s="936" t="n"/>
      <c r="M24" s="936" t="n"/>
      <c r="O24" s="936" t="n"/>
      <c r="P24" s="936" t="n"/>
      <c r="Q24" s="918" t="n"/>
    </row>
    <row r="25" ht="19.8" customHeight="1" thickBot="1">
      <c r="B25" s="737" t="inlineStr">
        <is>
          <t>3- SUMINISTRO DE INSUMOS</t>
        </is>
      </c>
      <c r="C25" s="846" t="n"/>
      <c r="D25" s="846" t="n"/>
      <c r="E25" s="961" t="n"/>
      <c r="F25" s="951">
        <f>SUM(F26:F31)</f>
        <v/>
      </c>
      <c r="G25" s="66">
        <f>(H25-F25)/H25</f>
        <v/>
      </c>
      <c r="H25" s="952">
        <f>SUM(H26:H31)</f>
        <v/>
      </c>
      <c r="I25" s="952">
        <f>H25/$E$9</f>
        <v/>
      </c>
      <c r="J25" s="63">
        <f>+H25/$H$7</f>
        <v/>
      </c>
      <c r="K25" s="63" t="n">
        <v>0.03379384321111508</v>
      </c>
      <c r="L25" s="936" t="n"/>
      <c r="M25" s="936" t="n"/>
      <c r="N25" s="936" t="n"/>
      <c r="Q25" s="918" t="n"/>
    </row>
    <row r="26">
      <c r="B26" s="4" t="n"/>
      <c r="C26" s="4" t="n"/>
      <c r="D26" s="6">
        <f>+'Presupuesto Interno'!C26</f>
        <v/>
      </c>
      <c r="E26" s="962" t="n"/>
      <c r="F26" s="954">
        <f>+'Presupuesto Interno'!E26</f>
        <v/>
      </c>
      <c r="G26" s="211" t="n">
        <v>0.05</v>
      </c>
      <c r="H26" s="955">
        <f>+F26/(1-G26)</f>
        <v/>
      </c>
      <c r="I26" s="920" t="n"/>
      <c r="J26" s="957">
        <f>F26/$E$9</f>
        <v/>
      </c>
      <c r="L26" s="936" t="n"/>
      <c r="M26" s="936" t="n"/>
      <c r="N26" s="936" t="n"/>
      <c r="Q26" s="918" t="n"/>
    </row>
    <row r="27">
      <c r="B27" s="4" t="n"/>
      <c r="C27" s="4" t="n"/>
      <c r="D27" s="6">
        <f>+'Presupuesto Interno'!C27</f>
        <v/>
      </c>
      <c r="E27" s="962" t="n"/>
      <c r="F27" s="954">
        <f>+'Presupuesto Interno'!E27</f>
        <v/>
      </c>
      <c r="G27" s="211" t="n">
        <v>0.05</v>
      </c>
      <c r="H27" s="955">
        <f>+F27/(1-G27)</f>
        <v/>
      </c>
      <c r="J27" s="957">
        <f>F27/$E$9</f>
        <v/>
      </c>
      <c r="L27" s="936" t="n"/>
      <c r="M27" s="936" t="n"/>
      <c r="Q27" s="918" t="n"/>
    </row>
    <row r="28">
      <c r="B28" s="4" t="n"/>
      <c r="C28" s="4" t="n"/>
      <c r="D28" s="6">
        <f>+'Presupuesto Interno'!C28</f>
        <v/>
      </c>
      <c r="E28" s="962" t="n"/>
      <c r="F28" s="954">
        <f>+'Presupuesto Interno'!E28</f>
        <v/>
      </c>
      <c r="G28" s="211" t="n">
        <v>0.05</v>
      </c>
      <c r="H28" s="955">
        <f>+F28/(1-G28)</f>
        <v/>
      </c>
      <c r="J28" s="957">
        <f>F28/$E$9</f>
        <v/>
      </c>
      <c r="L28" s="936" t="n"/>
      <c r="M28" s="936" t="n"/>
      <c r="Q28" s="918" t="n"/>
    </row>
    <row r="29">
      <c r="B29" s="4" t="n"/>
      <c r="C29" s="4" t="n"/>
      <c r="D29" s="6">
        <f>+'Presupuesto Interno'!C29</f>
        <v/>
      </c>
      <c r="E29" s="962" t="n"/>
      <c r="F29" s="954">
        <f>+'Presupuesto Interno'!E29</f>
        <v/>
      </c>
      <c r="G29" s="211" t="n">
        <v>0.05</v>
      </c>
      <c r="H29" s="955">
        <f>+F29/(1-G29)</f>
        <v/>
      </c>
      <c r="J29" s="957">
        <f>F29/$E$9</f>
        <v/>
      </c>
      <c r="L29" s="936" t="n"/>
      <c r="M29" s="936" t="n"/>
      <c r="Q29" s="918" t="n"/>
    </row>
    <row r="30">
      <c r="B30" s="4" t="n"/>
      <c r="C30" s="4" t="n"/>
      <c r="D30" s="6">
        <f>+'Presupuesto Interno'!C30</f>
        <v/>
      </c>
      <c r="E30" s="962" t="n"/>
      <c r="F30" s="954">
        <f>+'Presupuesto Interno'!E30</f>
        <v/>
      </c>
      <c r="G30" s="211" t="n">
        <v>0.05</v>
      </c>
      <c r="H30" s="955">
        <f>+F30/(1-G30)</f>
        <v/>
      </c>
      <c r="J30" s="957">
        <f>F30/$E$9</f>
        <v/>
      </c>
      <c r="L30" s="936" t="n"/>
      <c r="M30" s="936" t="n"/>
      <c r="Q30" s="918" t="n"/>
    </row>
    <row r="31">
      <c r="B31" s="4" t="n"/>
      <c r="C31" s="4" t="n"/>
      <c r="D31" s="6">
        <f>+'Presupuesto Interno'!C31</f>
        <v/>
      </c>
      <c r="E31" s="962" t="n"/>
      <c r="F31" s="954">
        <f>+'Presupuesto Interno'!E31</f>
        <v/>
      </c>
      <c r="G31" s="211" t="n">
        <v>0.05</v>
      </c>
      <c r="H31" s="955">
        <f>+F31/(1-G31)</f>
        <v/>
      </c>
      <c r="L31" s="936" t="n"/>
      <c r="M31" s="936" t="n"/>
      <c r="Q31" s="918" t="n"/>
    </row>
    <row r="32" ht="6" customHeight="1" thickBot="1">
      <c r="B32" s="4" t="n"/>
      <c r="C32" s="4" t="n"/>
      <c r="D32" s="4" t="n"/>
      <c r="E32" s="8" t="n"/>
      <c r="F32" s="959" t="n"/>
      <c r="G32" s="44" t="n"/>
      <c r="H32" s="960" t="n"/>
      <c r="L32" s="936" t="n"/>
      <c r="M32" s="936" t="n"/>
      <c r="N32" s="936" t="n"/>
      <c r="Q32" s="918" t="n"/>
    </row>
    <row r="33" ht="19.8" customHeight="1" thickBot="1">
      <c r="B33" s="737" t="inlineStr">
        <is>
          <t>4- SUBCONTRATACIONES</t>
        </is>
      </c>
      <c r="C33" s="846" t="n"/>
      <c r="D33" s="846" t="n"/>
      <c r="E33" s="9" t="n"/>
      <c r="F33" s="951">
        <f>SUM(F34:F38)</f>
        <v/>
      </c>
      <c r="G33" s="47">
        <f>+(H33-F33)/H33</f>
        <v/>
      </c>
      <c r="H33" s="952">
        <f>SUM(H34:H38)</f>
        <v/>
      </c>
      <c r="I33" s="952">
        <f>H33/$E$9</f>
        <v/>
      </c>
      <c r="J33" s="63">
        <f>+H33/$H$7</f>
        <v/>
      </c>
      <c r="K33" s="63" t="n">
        <v>0.009345685397534401</v>
      </c>
      <c r="L33" s="936" t="n"/>
      <c r="M33" s="936" t="n"/>
      <c r="Q33" s="918" t="n"/>
    </row>
    <row r="34">
      <c r="B34" s="4" t="n"/>
      <c r="C34" s="4" t="n"/>
      <c r="D34" s="6">
        <f>+'Presupuesto Interno'!C34</f>
        <v/>
      </c>
      <c r="E34" s="7" t="n"/>
      <c r="F34" s="954">
        <f>+'Presupuesto Interno'!E34</f>
        <v/>
      </c>
      <c r="G34" s="211" t="n">
        <v>0.05</v>
      </c>
      <c r="H34" s="955">
        <f>+F34/(1-G34)</f>
        <v/>
      </c>
      <c r="I34" s="920" t="n"/>
      <c r="J34" s="957">
        <f>F34/$E$9</f>
        <v/>
      </c>
      <c r="L34" s="936" t="n"/>
      <c r="M34" s="936" t="n"/>
      <c r="Q34" s="918" t="n"/>
    </row>
    <row r="35">
      <c r="B35" s="4" t="n"/>
      <c r="C35" s="4" t="n"/>
      <c r="D35" s="6">
        <f>+'Presupuesto Interno'!C35</f>
        <v/>
      </c>
      <c r="E35" s="7" t="n"/>
      <c r="F35" s="954">
        <f>+'Presupuesto Interno'!E35</f>
        <v/>
      </c>
      <c r="G35" s="211" t="n">
        <v>0.05</v>
      </c>
      <c r="H35" s="955">
        <f>+F35/(1-G35)</f>
        <v/>
      </c>
      <c r="J35" s="957">
        <f>F35/$E$9</f>
        <v/>
      </c>
      <c r="L35" s="936" t="n"/>
      <c r="M35" s="936" t="n"/>
      <c r="Q35" s="918" t="n"/>
    </row>
    <row r="36">
      <c r="B36" s="4" t="n"/>
      <c r="C36" s="4" t="n"/>
      <c r="D36" s="6">
        <f>+'Presupuesto Interno'!C36</f>
        <v/>
      </c>
      <c r="E36" s="7" t="n"/>
      <c r="F36" s="954">
        <f>+'Presupuesto Interno'!E36</f>
        <v/>
      </c>
      <c r="G36" s="211" t="n">
        <v>0.05</v>
      </c>
      <c r="H36" s="955">
        <f>+F36/(1-G36)</f>
        <v/>
      </c>
      <c r="J36" s="957">
        <f>F36/$E$9</f>
        <v/>
      </c>
      <c r="L36" s="936" t="n"/>
      <c r="M36" s="936" t="n"/>
      <c r="Q36" s="918" t="n"/>
    </row>
    <row r="37">
      <c r="B37" s="4" t="n"/>
      <c r="C37" s="4" t="n"/>
      <c r="D37" s="6">
        <f>+'Presupuesto Interno'!C37</f>
        <v/>
      </c>
      <c r="E37" s="7" t="n"/>
      <c r="F37" s="954">
        <f>+'Presupuesto Interno'!E37</f>
        <v/>
      </c>
      <c r="G37" s="211" t="n">
        <v>0.05</v>
      </c>
      <c r="H37" s="955">
        <f>+F37/(1-G37)</f>
        <v/>
      </c>
      <c r="J37" s="957">
        <f>F37/$E$9</f>
        <v/>
      </c>
      <c r="L37" s="936" t="n"/>
      <c r="M37" s="936" t="n"/>
      <c r="Q37" s="918" t="n"/>
    </row>
    <row r="38">
      <c r="B38" s="4" t="n"/>
      <c r="C38" s="4" t="n"/>
      <c r="D38" s="6">
        <f>+'Presupuesto Interno'!C38</f>
        <v/>
      </c>
      <c r="E38" s="7" t="n"/>
      <c r="F38" s="954">
        <f>+'Presupuesto Interno'!E38</f>
        <v/>
      </c>
      <c r="G38" s="211" t="n">
        <v>0.05</v>
      </c>
      <c r="H38" s="955">
        <f>+F38/(1-G38)</f>
        <v/>
      </c>
      <c r="J38" s="957">
        <f>F38/$E$9</f>
        <v/>
      </c>
      <c r="L38" s="936" t="n"/>
      <c r="M38" s="936" t="n"/>
      <c r="O38" s="936" t="n"/>
      <c r="P38" s="936" t="n"/>
      <c r="Q38" s="918" t="n"/>
    </row>
    <row r="39" ht="6" customHeight="1" thickBot="1">
      <c r="B39" s="4" t="n"/>
      <c r="C39" s="4" t="n"/>
      <c r="D39" s="4" t="n"/>
      <c r="E39" s="8" t="n"/>
      <c r="F39" s="959" t="n"/>
      <c r="G39" s="44" t="n"/>
      <c r="H39" s="959" t="n"/>
      <c r="L39" s="936" t="n"/>
      <c r="M39" s="936" t="n"/>
      <c r="Q39" s="918" t="n"/>
    </row>
    <row r="40" ht="19.8" customHeight="1" thickBot="1">
      <c r="B40" s="737" t="inlineStr">
        <is>
          <t>5- AMORTIZACIONES</t>
        </is>
      </c>
      <c r="C40" s="846" t="n"/>
      <c r="D40" s="846" t="n"/>
      <c r="E40" s="9" t="n"/>
      <c r="F40" s="951">
        <f>SUM(F41:F46)</f>
        <v/>
      </c>
      <c r="G40" s="47">
        <f>+(H40-F40)/H40</f>
        <v/>
      </c>
      <c r="H40" s="952">
        <f>SUM(H41:H46)</f>
        <v/>
      </c>
      <c r="I40" s="952">
        <f>H40/$E$9</f>
        <v/>
      </c>
      <c r="J40" s="63">
        <f>+H40/$H$7</f>
        <v/>
      </c>
      <c r="K40" s="63" t="n">
        <v>0.06520318344247959</v>
      </c>
      <c r="L40" s="936" t="n"/>
      <c r="M40" s="936" t="n"/>
      <c r="O40" s="936" t="n"/>
      <c r="P40" s="936" t="n"/>
      <c r="Q40" s="918" t="n"/>
    </row>
    <row r="41">
      <c r="B41" s="4" t="n"/>
      <c r="C41" s="4" t="n"/>
      <c r="D41" s="6">
        <f>+'Presupuesto Interno'!C41</f>
        <v/>
      </c>
      <c r="E41" s="7" t="n"/>
      <c r="F41" s="954">
        <f>+'Presupuesto Interno'!E41</f>
        <v/>
      </c>
      <c r="G41" s="211" t="n">
        <v>0.05</v>
      </c>
      <c r="H41" s="955">
        <f>+F41/(1-G41)</f>
        <v/>
      </c>
      <c r="I41" s="920" t="n"/>
      <c r="J41" s="957">
        <f>F41/$E$9</f>
        <v/>
      </c>
      <c r="L41" s="936" t="n"/>
      <c r="M41" s="936" t="n"/>
      <c r="N41" s="936" t="n"/>
      <c r="Q41" s="918" t="n"/>
    </row>
    <row r="42">
      <c r="B42" s="4" t="n"/>
      <c r="C42" s="4" t="n"/>
      <c r="D42" s="6">
        <f>+'Presupuesto Interno'!C42</f>
        <v/>
      </c>
      <c r="E42" s="7" t="n"/>
      <c r="F42" s="954">
        <f>+'Presupuesto Interno'!E42</f>
        <v/>
      </c>
      <c r="G42" s="211" t="n">
        <v>0.05</v>
      </c>
      <c r="H42" s="955">
        <f>+F42/(1-G42)</f>
        <v/>
      </c>
      <c r="J42" s="957">
        <f>F42/$E$9</f>
        <v/>
      </c>
      <c r="K42" s="823">
        <f>F42/H7</f>
        <v/>
      </c>
      <c r="L42" s="936" t="n"/>
      <c r="M42" s="936" t="n"/>
      <c r="N42" s="936" t="n"/>
      <c r="O42" s="936" t="n"/>
      <c r="Q42" s="918" t="n"/>
    </row>
    <row r="43">
      <c r="B43" s="4" t="n"/>
      <c r="C43" s="4" t="n"/>
      <c r="D43" s="6">
        <f>+'Presupuesto Interno'!C43</f>
        <v/>
      </c>
      <c r="E43" s="7" t="n"/>
      <c r="F43" s="954">
        <f>+'Presupuesto Interno'!E43</f>
        <v/>
      </c>
      <c r="G43" s="211" t="n">
        <v>0.05</v>
      </c>
      <c r="H43" s="955">
        <f>+F43/(1-G43)</f>
        <v/>
      </c>
      <c r="J43" s="957">
        <f>F43/$E$9</f>
        <v/>
      </c>
      <c r="L43" s="936" t="n"/>
      <c r="M43" s="936" t="n"/>
      <c r="P43" s="936" t="n"/>
      <c r="Q43" s="918" t="n"/>
    </row>
    <row r="44">
      <c r="B44" s="4" t="n"/>
      <c r="C44" s="4" t="n"/>
      <c r="D44" s="6">
        <f>+'Presupuesto Interno'!C44</f>
        <v/>
      </c>
      <c r="E44" s="7" t="n"/>
      <c r="F44" s="954">
        <f>+'Presupuesto Interno'!E44</f>
        <v/>
      </c>
      <c r="G44" s="211" t="n">
        <v>0.05</v>
      </c>
      <c r="H44" s="955">
        <f>+F44/(1-G44)</f>
        <v/>
      </c>
      <c r="J44" s="957">
        <f>F44/$E$9</f>
        <v/>
      </c>
      <c r="L44" s="936" t="n"/>
      <c r="M44" s="936" t="n"/>
      <c r="Q44" s="918" t="n"/>
    </row>
    <row r="45">
      <c r="B45" s="4" t="n"/>
      <c r="C45" s="4" t="n"/>
      <c r="D45" s="6">
        <f>+'Presupuesto Interno'!C45</f>
        <v/>
      </c>
      <c r="E45" s="7" t="n"/>
      <c r="F45" s="954">
        <f>+'Presupuesto Interno'!E45</f>
        <v/>
      </c>
      <c r="G45" s="211" t="n">
        <v>0.05</v>
      </c>
      <c r="H45" s="955">
        <f>+F45/(1-G45)</f>
        <v/>
      </c>
      <c r="J45" s="957">
        <f>F45/$E$9</f>
        <v/>
      </c>
      <c r="L45" s="936" t="n"/>
      <c r="M45" s="936" t="n"/>
      <c r="Q45" s="918" t="n"/>
    </row>
    <row r="46">
      <c r="B46" s="4" t="n"/>
      <c r="C46" s="4" t="n"/>
      <c r="D46" s="6">
        <f>+'Presupuesto Interno'!C46</f>
        <v/>
      </c>
      <c r="E46" s="7" t="n"/>
      <c r="F46" s="954">
        <f>+'Presupuesto Interno'!E46</f>
        <v/>
      </c>
      <c r="G46" s="211" t="n">
        <v>0.05</v>
      </c>
      <c r="H46" s="955">
        <f>+F46/(1-G46)</f>
        <v/>
      </c>
      <c r="I46" s="920" t="n"/>
      <c r="J46" s="957">
        <f>F46/$E$9</f>
        <v/>
      </c>
      <c r="L46" s="936" t="n"/>
      <c r="M46" s="936" t="n"/>
      <c r="Q46" s="918" t="n"/>
    </row>
    <row r="47" ht="6" customHeight="1" thickBot="1">
      <c r="B47" s="4" t="n"/>
      <c r="C47" s="4" t="n"/>
      <c r="D47" s="4" t="n"/>
      <c r="E47" s="8" t="n"/>
      <c r="F47" s="959" t="n"/>
      <c r="G47" s="44" t="n"/>
      <c r="H47" s="960" t="n"/>
      <c r="L47" s="936" t="n"/>
      <c r="M47" s="936" t="n"/>
      <c r="Q47" s="918" t="n"/>
    </row>
    <row r="48" ht="19.8" customHeight="1" thickBot="1">
      <c r="B48" s="737" t="inlineStr">
        <is>
          <t>6- GASTOS GENERALES</t>
        </is>
      </c>
      <c r="C48" s="846" t="n"/>
      <c r="D48" s="846" t="n"/>
      <c r="E48" s="9" t="n"/>
      <c r="F48" s="951">
        <f>F50+F55+F61+F67+F73+F80+F88</f>
        <v/>
      </c>
      <c r="G48" s="47">
        <f>+(H48-F48)/H48</f>
        <v/>
      </c>
      <c r="H48" s="952">
        <f>+H50+H55+H61+H67+H73+H80+H88</f>
        <v/>
      </c>
      <c r="I48" s="952">
        <f>H48/$E$9</f>
        <v/>
      </c>
      <c r="J48" s="63">
        <f>+H48/$H$7</f>
        <v/>
      </c>
      <c r="K48" s="63" t="n">
        <v>0.06878864117816777</v>
      </c>
      <c r="L48" s="936" t="n"/>
      <c r="M48" s="936" t="n"/>
      <c r="N48" s="936" t="n"/>
      <c r="Q48" s="918" t="n"/>
    </row>
    <row r="49" ht="6" customHeight="1" thickBot="1">
      <c r="B49" s="10" t="n"/>
      <c r="C49" s="4" t="n"/>
      <c r="D49" s="4" t="n"/>
      <c r="E49" s="8" t="n"/>
      <c r="F49" s="959" t="n"/>
      <c r="G49" s="44" t="n"/>
      <c r="H49" s="960" t="n"/>
      <c r="L49" s="936" t="n"/>
      <c r="M49" s="936" t="n"/>
      <c r="N49" s="936" t="n"/>
      <c r="Q49" s="918" t="n"/>
    </row>
    <row r="50" ht="14.4" customHeight="1" thickBot="1">
      <c r="B50" s="4" t="n"/>
      <c r="C50" s="737" t="inlineStr">
        <is>
          <t>6.1 Servicios</t>
        </is>
      </c>
      <c r="D50" s="846" t="n"/>
      <c r="E50" s="9" t="n"/>
      <c r="F50" s="963">
        <f>SUM(F51:F53)</f>
        <v/>
      </c>
      <c r="G50" s="52">
        <f>+(H50-F50)/H50</f>
        <v/>
      </c>
      <c r="H50" s="964">
        <f>SUM(H51:H53)</f>
        <v/>
      </c>
      <c r="I50" s="965" t="n"/>
      <c r="J50" s="966" t="n"/>
      <c r="K50" s="966" t="n">
        <v>1.060414305383345</v>
      </c>
      <c r="L50" s="936" t="n"/>
      <c r="M50" s="936" t="n"/>
      <c r="N50" s="936" t="n"/>
      <c r="Q50" s="918" t="n"/>
    </row>
    <row r="51">
      <c r="B51" s="4" t="n"/>
      <c r="C51" s="4" t="n"/>
      <c r="D51" s="6">
        <f>+'Presupuesto Interno'!C51</f>
        <v/>
      </c>
      <c r="E51" s="7" t="n"/>
      <c r="F51" s="954">
        <f>+'Presupuesto Interno'!E51</f>
        <v/>
      </c>
      <c r="G51" s="211" t="n">
        <v>0.05</v>
      </c>
      <c r="H51" s="955">
        <f>+F51/(1-G51)</f>
        <v/>
      </c>
      <c r="I51" s="920" t="n"/>
      <c r="J51" s="957">
        <f>F51/$E$9</f>
        <v/>
      </c>
      <c r="L51" s="936" t="n"/>
      <c r="M51" s="936" t="n"/>
      <c r="Q51" s="918" t="n"/>
    </row>
    <row r="52">
      <c r="B52" s="4" t="n"/>
      <c r="C52" s="4" t="n"/>
      <c r="D52" s="6">
        <f>+'Presupuesto Interno'!C52</f>
        <v/>
      </c>
      <c r="E52" s="7" t="n"/>
      <c r="F52" s="954">
        <f>+'Presupuesto Interno'!E52</f>
        <v/>
      </c>
      <c r="G52" s="211" t="n">
        <v>0.05</v>
      </c>
      <c r="H52" s="955">
        <f>+F52/(1-G52)</f>
        <v/>
      </c>
      <c r="J52" s="957">
        <f>F52/$E$9</f>
        <v/>
      </c>
      <c r="L52" s="936" t="n"/>
      <c r="M52" s="936" t="n"/>
      <c r="Q52" s="918" t="n"/>
    </row>
    <row r="53">
      <c r="B53" s="4" t="n"/>
      <c r="C53" s="4" t="n"/>
      <c r="D53" s="6">
        <f>+'Presupuesto Interno'!C53</f>
        <v/>
      </c>
      <c r="E53" s="7" t="n"/>
      <c r="F53" s="954">
        <f>+'Presupuesto Interno'!E53</f>
        <v/>
      </c>
      <c r="G53" s="211" t="n">
        <v>0.05</v>
      </c>
      <c r="H53" s="955">
        <f>+F53/(1-G53)</f>
        <v/>
      </c>
      <c r="J53" s="957">
        <f>F53/$E$9</f>
        <v/>
      </c>
      <c r="L53" s="936" t="n"/>
      <c r="M53" s="936" t="n"/>
      <c r="Q53" s="918" t="n"/>
    </row>
    <row r="54" ht="6" customHeight="1" thickBot="1">
      <c r="B54" s="4" t="n"/>
      <c r="C54" s="4" t="n"/>
      <c r="D54" s="4" t="n"/>
      <c r="E54" s="8" t="n"/>
      <c r="F54" s="959" t="n"/>
      <c r="G54" s="44" t="n"/>
      <c r="H54" s="967" t="n"/>
      <c r="L54" s="936" t="n"/>
      <c r="M54" s="936" t="n"/>
      <c r="Q54" s="918" t="n"/>
    </row>
    <row r="55" ht="14.4" customHeight="1" thickBot="1">
      <c r="B55" s="4" t="n"/>
      <c r="C55" s="737" t="inlineStr">
        <is>
          <t>6.2 Alquileres y Leassing</t>
        </is>
      </c>
      <c r="D55" s="846" t="n"/>
      <c r="E55" s="9" t="n"/>
      <c r="F55" s="963">
        <f>SUM(F56:F59)</f>
        <v/>
      </c>
      <c r="G55" s="52">
        <f>+(H55-F55)/H55</f>
        <v/>
      </c>
      <c r="H55" s="964">
        <f>SUM(H56:H59)</f>
        <v/>
      </c>
      <c r="I55" s="965" t="n"/>
      <c r="L55" s="936" t="n"/>
      <c r="M55" s="936" t="n"/>
      <c r="Q55" s="918" t="n"/>
    </row>
    <row r="56">
      <c r="B56" s="4" t="n"/>
      <c r="C56" s="4" t="n"/>
      <c r="D56" s="6">
        <f>+'Presupuesto Interno'!C56</f>
        <v/>
      </c>
      <c r="E56" s="7" t="n"/>
      <c r="F56" s="954">
        <f>+'Presupuesto Interno'!E56</f>
        <v/>
      </c>
      <c r="G56" s="211" t="n">
        <v>0.05</v>
      </c>
      <c r="H56" s="955">
        <f>+F56/(1-G56)</f>
        <v/>
      </c>
      <c r="I56" s="920" t="n"/>
      <c r="L56" s="936" t="n"/>
      <c r="M56" s="936" t="n"/>
      <c r="Q56" s="918" t="n"/>
    </row>
    <row r="57">
      <c r="B57" s="4" t="n"/>
      <c r="C57" s="4" t="n"/>
      <c r="D57" s="6">
        <f>+'Presupuesto Interno'!C57</f>
        <v/>
      </c>
      <c r="E57" s="7" t="n"/>
      <c r="F57" s="954">
        <f>+'Presupuesto Interno'!E57</f>
        <v/>
      </c>
      <c r="G57" s="211" t="n">
        <v>0.05</v>
      </c>
      <c r="H57" s="955">
        <f>+F57/(1-G57)</f>
        <v/>
      </c>
      <c r="L57" s="936" t="n"/>
      <c r="M57" s="936" t="n"/>
      <c r="Q57" s="918" t="n"/>
    </row>
    <row r="58">
      <c r="B58" s="4" t="n"/>
      <c r="C58" s="4" t="n"/>
      <c r="D58" s="6">
        <f>+'Presupuesto Interno'!C58</f>
        <v/>
      </c>
      <c r="E58" s="7" t="n"/>
      <c r="F58" s="954">
        <f>+'Presupuesto Interno'!E58</f>
        <v/>
      </c>
      <c r="G58" s="211" t="n">
        <v>0.05</v>
      </c>
      <c r="H58" s="955">
        <f>+F58/(1-G58)</f>
        <v/>
      </c>
      <c r="L58" s="936" t="n"/>
      <c r="M58" s="936" t="n"/>
      <c r="Q58" s="918" t="n"/>
    </row>
    <row r="59">
      <c r="B59" s="4" t="n"/>
      <c r="C59" s="4" t="n"/>
      <c r="D59" s="6">
        <f>+'Presupuesto Interno'!C59</f>
        <v/>
      </c>
      <c r="E59" s="7" t="n"/>
      <c r="F59" s="954">
        <f>+'Presupuesto Interno'!E59</f>
        <v/>
      </c>
      <c r="G59" s="211" t="n">
        <v>0.05</v>
      </c>
      <c r="H59" s="955">
        <f>+F59/(1-G59)</f>
        <v/>
      </c>
      <c r="L59" s="936" t="n"/>
      <c r="M59" s="936" t="n"/>
      <c r="P59" s="936" t="n"/>
      <c r="Q59" s="918" t="n"/>
    </row>
    <row r="60" ht="6" customHeight="1" thickBot="1">
      <c r="B60" s="4" t="n"/>
      <c r="C60" s="4" t="n"/>
      <c r="D60" s="4" t="n"/>
      <c r="E60" s="8" t="n"/>
      <c r="F60" s="959" t="n"/>
      <c r="G60" s="44" t="n"/>
      <c r="H60" s="967" t="n"/>
      <c r="L60" s="936" t="n"/>
      <c r="M60" s="936" t="n"/>
      <c r="N60" s="936" t="n"/>
      <c r="Q60" s="918" t="n"/>
    </row>
    <row r="61" ht="14.4" customHeight="1" thickBot="1">
      <c r="B61" s="4" t="n"/>
      <c r="C61" s="739" t="inlineStr">
        <is>
          <t>6.3 Mantenimiento</t>
        </is>
      </c>
      <c r="D61" s="846" t="n"/>
      <c r="E61" s="11" t="n"/>
      <c r="F61" s="963">
        <f>SUM(F62:F65)</f>
        <v/>
      </c>
      <c r="G61" s="52">
        <f>+(H61-F61)/H61</f>
        <v/>
      </c>
      <c r="H61" s="964">
        <f>SUM(H62:H65)</f>
        <v/>
      </c>
      <c r="I61" s="965" t="n"/>
      <c r="L61" s="936" t="n"/>
      <c r="M61" s="936" t="n"/>
      <c r="N61" s="936" t="n"/>
      <c r="Q61" s="918" t="n"/>
    </row>
    <row r="62">
      <c r="B62" s="4" t="n"/>
      <c r="C62" s="4" t="n"/>
      <c r="D62" s="6">
        <f>+'Presupuesto Interno'!C62</f>
        <v/>
      </c>
      <c r="E62" s="552" t="n"/>
      <c r="F62" s="954">
        <f>+'Presupuesto Interno'!E62</f>
        <v/>
      </c>
      <c r="G62" s="211" t="n">
        <v>0.05</v>
      </c>
      <c r="H62" s="955">
        <f>+F62/(1-G62)</f>
        <v/>
      </c>
      <c r="I62" s="920" t="n"/>
      <c r="J62" s="957">
        <f>F62/$E$9</f>
        <v/>
      </c>
      <c r="L62" s="936" t="n"/>
      <c r="M62" s="936" t="n"/>
      <c r="P62" s="936" t="n"/>
      <c r="Q62" s="918" t="n"/>
    </row>
    <row r="63">
      <c r="B63" s="4" t="n"/>
      <c r="C63" s="4" t="n"/>
      <c r="D63" s="6">
        <f>+'Presupuesto Interno'!C63</f>
        <v/>
      </c>
      <c r="E63" s="552" t="n"/>
      <c r="F63" s="954">
        <f>+'Presupuesto Interno'!E63</f>
        <v/>
      </c>
      <c r="G63" s="211" t="n">
        <v>0.05</v>
      </c>
      <c r="H63" s="955">
        <f>+F63/(1-G63)</f>
        <v/>
      </c>
      <c r="J63" s="957">
        <f>F63/$E$9</f>
        <v/>
      </c>
      <c r="L63" s="936" t="n"/>
      <c r="M63" s="936" t="n"/>
      <c r="Q63" s="918" t="n"/>
    </row>
    <row r="64">
      <c r="B64" s="4" t="n"/>
      <c r="C64" s="4" t="n"/>
      <c r="D64" s="6">
        <f>+'Presupuesto Interno'!C64</f>
        <v/>
      </c>
      <c r="E64" s="552" t="n"/>
      <c r="F64" s="954">
        <f>+'Presupuesto Interno'!E64</f>
        <v/>
      </c>
      <c r="G64" s="211" t="n">
        <v>0.05</v>
      </c>
      <c r="H64" s="955">
        <f>+F64/(1-G64)</f>
        <v/>
      </c>
      <c r="J64" s="957">
        <f>F64/$E$9</f>
        <v/>
      </c>
      <c r="L64" s="936" t="n"/>
      <c r="M64" s="936" t="n"/>
      <c r="Q64" s="918" t="n"/>
    </row>
    <row r="65">
      <c r="B65" s="4" t="n"/>
      <c r="C65" s="4" t="n"/>
      <c r="D65" s="6">
        <f>+'Presupuesto Interno'!C65</f>
        <v/>
      </c>
      <c r="E65" s="552" t="n"/>
      <c r="F65" s="954">
        <f>+'Presupuesto Interno'!E65</f>
        <v/>
      </c>
      <c r="G65" s="211" t="n">
        <v>0.05</v>
      </c>
      <c r="H65" s="955">
        <f>+F65/(1-G65)</f>
        <v/>
      </c>
      <c r="J65" s="957">
        <f>F65/$E$9</f>
        <v/>
      </c>
      <c r="L65" s="936" t="n"/>
      <c r="M65" s="936" t="n"/>
      <c r="Q65" s="918" t="n"/>
    </row>
    <row r="66" ht="6" customHeight="1" thickBot="1">
      <c r="B66" s="4" t="n"/>
      <c r="C66" s="4" t="n"/>
      <c r="D66" s="4" t="n"/>
      <c r="E66" s="8" t="n"/>
      <c r="F66" s="959" t="n"/>
      <c r="G66" s="44" t="n"/>
      <c r="H66" s="967" t="n"/>
      <c r="L66" s="936" t="n"/>
      <c r="M66" s="936" t="n"/>
      <c r="O66" s="936" t="n"/>
      <c r="Q66" s="918" t="n"/>
    </row>
    <row r="67" ht="14.4" customHeight="1" thickBot="1">
      <c r="B67" s="4" t="n"/>
      <c r="C67" s="737" t="inlineStr">
        <is>
          <t>6.4 Previsiones Operativas</t>
        </is>
      </c>
      <c r="D67" s="846" t="n"/>
      <c r="E67" s="9" t="n"/>
      <c r="F67" s="963">
        <f>SUM(F68:F71)</f>
        <v/>
      </c>
      <c r="G67" s="52">
        <f>+(H67-F67)/H67</f>
        <v/>
      </c>
      <c r="H67" s="964">
        <f>SUM(H68:H71)</f>
        <v/>
      </c>
      <c r="I67" s="965" t="n"/>
      <c r="L67" s="936" t="n"/>
      <c r="M67" s="936" t="n"/>
      <c r="Q67" s="918" t="n"/>
    </row>
    <row r="68">
      <c r="B68" s="4" t="n"/>
      <c r="C68" s="4" t="n"/>
      <c r="D68" s="6">
        <f>+'Presupuesto Interno'!C68</f>
        <v/>
      </c>
      <c r="E68" s="552" t="n"/>
      <c r="F68" s="954">
        <f>+'Presupuesto Interno'!E68</f>
        <v/>
      </c>
      <c r="G68" s="211" t="n">
        <v>0.05</v>
      </c>
      <c r="H68" s="955">
        <f>+F68/(1-G68)</f>
        <v/>
      </c>
      <c r="I68" s="920" t="n"/>
      <c r="J68" s="957">
        <f>F68/$E$9</f>
        <v/>
      </c>
      <c r="L68" s="936" t="n"/>
      <c r="M68" s="936" t="n"/>
      <c r="Q68" s="918" t="n"/>
    </row>
    <row r="69">
      <c r="B69" s="4" t="n"/>
      <c r="C69" s="4" t="n"/>
      <c r="D69" s="6">
        <f>+'Presupuesto Interno'!C69</f>
        <v/>
      </c>
      <c r="E69" s="968" t="n"/>
      <c r="F69" s="954">
        <f>+'Presupuesto Interno'!E69</f>
        <v/>
      </c>
      <c r="G69" s="211" t="n">
        <v>0.05</v>
      </c>
      <c r="H69" s="955">
        <f>+F69/(1-G69)</f>
        <v/>
      </c>
      <c r="J69" s="957">
        <f>F69/$E$9</f>
        <v/>
      </c>
      <c r="L69" s="936" t="n"/>
      <c r="M69" s="936" t="n"/>
      <c r="Q69" s="918" t="n"/>
    </row>
    <row r="70">
      <c r="B70" s="4" t="n"/>
      <c r="C70" s="4" t="n"/>
      <c r="D70" s="6">
        <f>+'Presupuesto Interno'!C70</f>
        <v/>
      </c>
      <c r="E70" s="968" t="n"/>
      <c r="F70" s="954">
        <f>+'Presupuesto Interno'!E70</f>
        <v/>
      </c>
      <c r="G70" s="211" t="n">
        <v>0.05</v>
      </c>
      <c r="H70" s="955">
        <f>+F70/(1-G70)</f>
        <v/>
      </c>
      <c r="J70" s="957">
        <f>F70/$E$9</f>
        <v/>
      </c>
      <c r="L70" s="936" t="n"/>
      <c r="M70" s="936" t="n"/>
      <c r="Q70" s="918" t="n"/>
    </row>
    <row r="71">
      <c r="B71" s="4" t="n"/>
      <c r="C71" s="4" t="n"/>
      <c r="D71" s="6">
        <f>+'Presupuesto Interno'!C71</f>
        <v/>
      </c>
      <c r="E71" s="552" t="n"/>
      <c r="F71" s="954">
        <f>+'Presupuesto Interno'!E71</f>
        <v/>
      </c>
      <c r="G71" s="211" t="n">
        <v>0.05</v>
      </c>
      <c r="H71" s="955">
        <f>+F71/(1-G71)</f>
        <v/>
      </c>
      <c r="J71" s="957">
        <f>F71/$E$9</f>
        <v/>
      </c>
      <c r="L71" s="936" t="n"/>
      <c r="M71" s="936" t="n"/>
      <c r="P71" s="936" t="n"/>
      <c r="Q71" s="918" t="n"/>
    </row>
    <row r="72" ht="6" customHeight="1" thickBot="1">
      <c r="B72" s="4" t="n"/>
      <c r="C72" s="4" t="n"/>
      <c r="D72" s="4" t="n"/>
      <c r="E72" s="8" t="n"/>
      <c r="F72" s="959" t="n"/>
      <c r="G72" s="44" t="n"/>
      <c r="H72" s="967" t="n"/>
      <c r="L72" s="936" t="n"/>
      <c r="M72" s="936" t="n"/>
      <c r="Q72" s="918" t="n"/>
    </row>
    <row r="73" ht="14.4" customHeight="1" thickBot="1">
      <c r="B73" s="4" t="n"/>
      <c r="C73" s="739" t="inlineStr">
        <is>
          <t>6.5 Seguros</t>
        </is>
      </c>
      <c r="D73" s="846" t="n"/>
      <c r="E73" s="11" t="n"/>
      <c r="F73" s="963">
        <f>SUM(F74:F78)</f>
        <v/>
      </c>
      <c r="G73" s="52">
        <f>+(H73-F73)/H73</f>
        <v/>
      </c>
      <c r="H73" s="964">
        <f>SUM(H74:H78)</f>
        <v/>
      </c>
      <c r="I73" s="965" t="n"/>
      <c r="L73" s="936" t="n"/>
      <c r="M73" s="936" t="n"/>
      <c r="Q73" s="918" t="n"/>
    </row>
    <row r="74">
      <c r="B74" s="4" t="n"/>
      <c r="C74" s="4" t="n"/>
      <c r="D74" s="6">
        <f>+'Presupuesto Interno'!C74</f>
        <v/>
      </c>
      <c r="E74" s="968" t="n"/>
      <c r="F74" s="954">
        <f>+'Presupuesto Interno'!E74</f>
        <v/>
      </c>
      <c r="G74" s="211" t="n">
        <v>0.05</v>
      </c>
      <c r="H74" s="955">
        <f>+F74/(1-G74)</f>
        <v/>
      </c>
      <c r="I74" s="920" t="n"/>
      <c r="J74" s="957">
        <f>F74/$E$9</f>
        <v/>
      </c>
      <c r="L74" s="936" t="n"/>
      <c r="M74" s="936" t="n"/>
      <c r="Q74" s="918" t="n"/>
    </row>
    <row r="75">
      <c r="B75" s="4" t="n"/>
      <c r="C75" s="969" t="n"/>
      <c r="D75" s="6">
        <f>+'Presupuesto Interno'!C75</f>
        <v/>
      </c>
      <c r="E75" s="968" t="n"/>
      <c r="F75" s="954">
        <f>+'Presupuesto Interno'!E75</f>
        <v/>
      </c>
      <c r="G75" s="211" t="n">
        <v>0.05</v>
      </c>
      <c r="H75" s="955">
        <f>+F75/(1-G75)</f>
        <v/>
      </c>
      <c r="J75" s="957">
        <f>F75/$E$9</f>
        <v/>
      </c>
      <c r="L75" s="936" t="n"/>
      <c r="M75" s="936" t="n"/>
      <c r="Q75" s="918" t="n"/>
    </row>
    <row r="76">
      <c r="B76" s="4" t="n"/>
      <c r="C76" s="4" t="n"/>
      <c r="D76" s="6">
        <f>+'Presupuesto Interno'!C76</f>
        <v/>
      </c>
      <c r="E76" s="968" t="n"/>
      <c r="F76" s="954">
        <f>+'Presupuesto Interno'!E76</f>
        <v/>
      </c>
      <c r="G76" s="211" t="n">
        <v>0.05</v>
      </c>
      <c r="H76" s="955">
        <f>+F76/(1-G76)</f>
        <v/>
      </c>
      <c r="J76" s="957">
        <f>F76/$E$9</f>
        <v/>
      </c>
      <c r="L76" s="936" t="n"/>
      <c r="M76" s="936" t="n"/>
      <c r="Q76" s="918" t="n"/>
    </row>
    <row r="77">
      <c r="B77" s="4" t="n"/>
      <c r="C77" s="4" t="n"/>
      <c r="D77" s="6">
        <f>+'Presupuesto Interno'!C77</f>
        <v/>
      </c>
      <c r="E77" s="968" t="n"/>
      <c r="F77" s="954">
        <f>+'Presupuesto Interno'!E77</f>
        <v/>
      </c>
      <c r="G77" s="211" t="n">
        <v>0.05</v>
      </c>
      <c r="H77" s="955">
        <f>+F77/(1-G77)</f>
        <v/>
      </c>
      <c r="J77" s="957">
        <f>F77/$E$9</f>
        <v/>
      </c>
      <c r="L77" s="936" t="n"/>
      <c r="M77" s="936" t="n"/>
      <c r="Q77" s="918" t="n"/>
    </row>
    <row r="78">
      <c r="B78" s="4" t="n"/>
      <c r="C78" s="4" t="n"/>
      <c r="D78" s="6">
        <f>+'Presupuesto Interno'!C78</f>
        <v/>
      </c>
      <c r="E78" s="968" t="n"/>
      <c r="F78" s="954">
        <f>+'Presupuesto Interno'!E78</f>
        <v/>
      </c>
      <c r="G78" s="211" t="n">
        <v>0.05</v>
      </c>
      <c r="H78" s="955">
        <f>+F78/(1-G78)</f>
        <v/>
      </c>
      <c r="J78" s="957">
        <f>F78/$E$9</f>
        <v/>
      </c>
      <c r="L78" s="936" t="n"/>
      <c r="M78" s="936" t="n"/>
      <c r="Q78" s="918" t="n"/>
    </row>
    <row r="79" ht="6" customHeight="1" thickBot="1">
      <c r="B79" s="4" t="n"/>
      <c r="C79" s="4" t="n"/>
      <c r="D79" s="4" t="n"/>
      <c r="E79" s="8" t="n"/>
      <c r="F79" s="959" t="n"/>
      <c r="G79" s="44" t="n"/>
      <c r="H79" s="967" t="n"/>
      <c r="L79" s="936" t="n"/>
      <c r="M79" s="936" t="n"/>
      <c r="Q79" s="918" t="n"/>
    </row>
    <row r="80" ht="15.9" customHeight="1" thickBot="1">
      <c r="B80" s="4" t="n"/>
      <c r="C80" s="739" t="inlineStr">
        <is>
          <t>6.6 Otros Gastos Generales</t>
        </is>
      </c>
      <c r="D80" s="846" t="n"/>
      <c r="E80" s="11" t="n"/>
      <c r="F80" s="963">
        <f>SUM(F81:F86)</f>
        <v/>
      </c>
      <c r="G80" s="52">
        <f>+(H80-F80)/H80</f>
        <v/>
      </c>
      <c r="H80" s="964">
        <f>SUM(H81:H86)</f>
        <v/>
      </c>
      <c r="L80" s="936" t="n"/>
      <c r="M80" s="936" t="n"/>
      <c r="Q80" s="918" t="n"/>
    </row>
    <row r="81">
      <c r="B81" s="4" t="n"/>
      <c r="C81" s="4" t="n"/>
      <c r="D81" s="6">
        <f>+'Presupuesto Interno'!C81</f>
        <v/>
      </c>
      <c r="E81" s="968" t="n"/>
      <c r="F81" s="954">
        <f>+'Presupuesto Interno'!E81</f>
        <v/>
      </c>
      <c r="G81" s="211" t="n">
        <v>0.05</v>
      </c>
      <c r="H81" s="955">
        <f>+F81/(1-G81)</f>
        <v/>
      </c>
      <c r="L81" s="936" t="n"/>
      <c r="M81" s="936" t="n"/>
      <c r="Q81" s="918" t="n"/>
    </row>
    <row r="82">
      <c r="B82" s="4" t="n"/>
      <c r="C82" s="4" t="n"/>
      <c r="D82" s="6">
        <f>+'Presupuesto Interno'!C82</f>
        <v/>
      </c>
      <c r="E82" s="968" t="n"/>
      <c r="F82" s="954">
        <f>+'Presupuesto Interno'!E82</f>
        <v/>
      </c>
      <c r="G82" s="211" t="n">
        <v>0.05</v>
      </c>
      <c r="H82" s="955">
        <f>+F82/(1-G82)</f>
        <v/>
      </c>
      <c r="L82" s="936" t="n"/>
      <c r="M82" s="936" t="n"/>
      <c r="Q82" s="918" t="n"/>
    </row>
    <row r="83">
      <c r="B83" s="4" t="n"/>
      <c r="C83" s="4" t="n"/>
      <c r="D83" s="6">
        <f>+'Presupuesto Interno'!C83</f>
        <v/>
      </c>
      <c r="E83" s="968" t="n"/>
      <c r="F83" s="954">
        <f>+'Presupuesto Interno'!E83</f>
        <v/>
      </c>
      <c r="G83" s="211" t="n">
        <v>0.05</v>
      </c>
      <c r="H83" s="955">
        <f>+F83/(1-G83)</f>
        <v/>
      </c>
      <c r="L83" s="936" t="n"/>
      <c r="M83" s="936" t="n"/>
      <c r="Q83" s="918" t="n"/>
    </row>
    <row r="84">
      <c r="B84" s="4" t="n"/>
      <c r="C84" s="4" t="n"/>
      <c r="D84" s="6">
        <f>+'Presupuesto Interno'!C84</f>
        <v/>
      </c>
      <c r="E84" s="968" t="n"/>
      <c r="F84" s="954">
        <f>+'Presupuesto Interno'!E84</f>
        <v/>
      </c>
      <c r="G84" s="211" t="n">
        <v>0.05</v>
      </c>
      <c r="H84" s="955">
        <f>+F84/(1-G84)</f>
        <v/>
      </c>
      <c r="L84" s="936" t="n"/>
      <c r="M84" s="936" t="n"/>
      <c r="Q84" s="918" t="n"/>
    </row>
    <row r="85">
      <c r="B85" s="4" t="n"/>
      <c r="C85" s="4" t="n"/>
      <c r="D85" s="6">
        <f>+'Presupuesto Interno'!C85</f>
        <v/>
      </c>
      <c r="E85" s="968" t="n"/>
      <c r="F85" s="954">
        <f>+'Presupuesto Interno'!E85</f>
        <v/>
      </c>
      <c r="G85" s="211" t="n">
        <v>0.05</v>
      </c>
      <c r="H85" s="955">
        <f>+F85/(1-G85)</f>
        <v/>
      </c>
      <c r="L85" s="936" t="n"/>
      <c r="M85" s="936" t="n"/>
      <c r="Q85" s="918" t="n"/>
    </row>
    <row r="86" ht="15" customHeight="1">
      <c r="B86" s="4" t="n"/>
      <c r="C86" s="4" t="n"/>
      <c r="D86" s="6">
        <f>+'Presupuesto Interno'!C86</f>
        <v/>
      </c>
      <c r="E86" s="968" t="n"/>
      <c r="F86" s="954">
        <f>+'Presupuesto Interno'!E86</f>
        <v/>
      </c>
      <c r="G86" s="211" t="n">
        <v>0.05</v>
      </c>
      <c r="H86" s="955">
        <f>+F86/(1-G86)</f>
        <v/>
      </c>
      <c r="L86" s="936" t="n"/>
      <c r="M86" s="936" t="n"/>
      <c r="Q86" s="918" t="n"/>
    </row>
    <row r="87" ht="13.5" customHeight="1" thickBot="1">
      <c r="B87" s="12" t="n"/>
      <c r="C87" s="4" t="n"/>
      <c r="D87" s="4" t="n"/>
      <c r="E87" s="4" t="n"/>
      <c r="F87" s="970" t="n"/>
      <c r="G87" s="44" t="n"/>
      <c r="H87" s="57" t="n"/>
      <c r="L87" s="936" t="n"/>
      <c r="M87" s="936" t="n"/>
      <c r="Q87" s="918" t="n"/>
    </row>
    <row r="88" ht="15.9" customHeight="1" thickBot="1">
      <c r="B88" s="12" t="n"/>
      <c r="C88" s="739" t="inlineStr">
        <is>
          <t>6.7 Viaticos</t>
        </is>
      </c>
      <c r="D88" s="846" t="n"/>
      <c r="E88" s="11" t="n"/>
      <c r="F88" s="963">
        <f>SUM(F89:F92)</f>
        <v/>
      </c>
      <c r="G88" s="52">
        <f>+(H88-F88)/H88</f>
        <v/>
      </c>
      <c r="H88" s="964">
        <f>SUM(H89:H92)</f>
        <v/>
      </c>
      <c r="I88">
        <f>H88/E9</f>
        <v/>
      </c>
      <c r="L88" s="936" t="n"/>
      <c r="M88" s="936" t="n"/>
      <c r="Q88" s="918" t="n"/>
    </row>
    <row r="89" ht="13.5" customHeight="1">
      <c r="B89" s="12" t="n"/>
      <c r="C89" s="4" t="n"/>
      <c r="D89" s="6" t="inlineStr">
        <is>
          <t>6.7.1 Comidas</t>
        </is>
      </c>
      <c r="E89" s="968" t="n"/>
      <c r="F89" s="954">
        <f>+'Presupuesto Interno'!E89</f>
        <v/>
      </c>
      <c r="G89" s="211" t="n">
        <v>0.05</v>
      </c>
      <c r="H89" s="955">
        <f>+F89/(1-G89)</f>
        <v/>
      </c>
      <c r="J89" s="957">
        <f>F89/$E$9</f>
        <v/>
      </c>
      <c r="L89" s="936" t="n"/>
      <c r="M89" s="936" t="n"/>
      <c r="Q89" s="918" t="n"/>
    </row>
    <row r="90" ht="13.5" customHeight="1">
      <c r="B90" s="12" t="n"/>
      <c r="C90" s="4" t="n"/>
      <c r="D90" s="6" t="inlineStr">
        <is>
          <t>6.7.2 Alojamiento</t>
        </is>
      </c>
      <c r="E90" s="968" t="n"/>
      <c r="F90" s="954">
        <f>+'Presupuesto Interno'!E90</f>
        <v/>
      </c>
      <c r="G90" s="211" t="n">
        <v>0.05</v>
      </c>
      <c r="H90" s="955">
        <f>+F90/(1-G90)</f>
        <v/>
      </c>
      <c r="L90" s="936" t="n"/>
      <c r="M90" s="936" t="n"/>
    </row>
    <row r="91" ht="13.5" customHeight="1">
      <c r="B91" s="12" t="n"/>
      <c r="C91" s="4" t="n"/>
      <c r="D91" s="6" t="inlineStr">
        <is>
          <t>6.7.3 Traslados</t>
        </is>
      </c>
      <c r="E91" s="968" t="n"/>
      <c r="F91" s="954">
        <f>+'Presupuesto Interno'!E91</f>
        <v/>
      </c>
      <c r="G91" s="211" t="n">
        <v>0.05</v>
      </c>
      <c r="H91" s="955">
        <f>+F91/(1-G91)</f>
        <v/>
      </c>
      <c r="J91" s="957">
        <f>F91/$E$9</f>
        <v/>
      </c>
      <c r="L91" s="936" t="n"/>
      <c r="M91" s="936" t="n"/>
    </row>
    <row r="92" ht="13.5" customHeight="1">
      <c r="B92" s="12" t="n"/>
      <c r="C92" s="4" t="n"/>
      <c r="D92" s="6" t="inlineStr">
        <is>
          <t>6.7.4 Vehiculos</t>
        </is>
      </c>
      <c r="E92" s="968" t="n"/>
      <c r="F92" s="954">
        <f>+'Presupuesto Interno'!E92</f>
        <v/>
      </c>
      <c r="G92" s="211" t="n">
        <v>0.05</v>
      </c>
      <c r="H92" s="955">
        <f>+F92/(1-G92)</f>
        <v/>
      </c>
      <c r="J92" s="957">
        <f>F92/$E$9</f>
        <v/>
      </c>
      <c r="L92" s="936" t="n"/>
      <c r="M92" s="936" t="n"/>
      <c r="N92" s="936" t="n"/>
      <c r="O92" s="936" t="n"/>
      <c r="P92" s="936" t="n"/>
    </row>
    <row r="93" ht="13.5" customHeight="1">
      <c r="B93" s="12" t="n"/>
      <c r="C93" s="4" t="n"/>
      <c r="D93" s="4" t="n"/>
      <c r="E93" s="4" t="n"/>
      <c r="F93" s="970" t="n"/>
      <c r="G93" s="44" t="n"/>
      <c r="H93" s="57" t="n"/>
      <c r="L93" s="936" t="n"/>
      <c r="M93" s="936" t="n"/>
    </row>
    <row r="94" ht="15.6" customHeight="1">
      <c r="B94" s="4" t="n"/>
      <c r="C94" s="12" t="n"/>
      <c r="D94" s="4" t="n"/>
      <c r="E94" s="971" t="inlineStr">
        <is>
          <t>Firma Jefe de Proyecto</t>
        </is>
      </c>
      <c r="F94" s="853" t="n"/>
      <c r="G94" s="44" t="n"/>
      <c r="H94" s="57" t="n"/>
      <c r="L94" s="936" t="n"/>
      <c r="M94" s="936" t="n"/>
    </row>
    <row r="95" ht="15.6" customHeight="1">
      <c r="B95" s="4" t="n"/>
      <c r="C95" s="4" t="n"/>
      <c r="D95" s="4" t="n"/>
      <c r="E95" s="854" t="n"/>
      <c r="F95" s="849" t="n"/>
      <c r="G95" s="44" t="n"/>
      <c r="H95" s="57" t="n"/>
      <c r="L95" s="936" t="n"/>
      <c r="M95" s="936" t="n"/>
    </row>
    <row r="96" ht="15.6" customHeight="1">
      <c r="B96" s="4" t="n"/>
      <c r="C96" s="180" t="n"/>
      <c r="D96" s="4" t="n"/>
      <c r="E96" s="855" t="n"/>
      <c r="F96" s="856" t="n"/>
      <c r="G96" s="44" t="n"/>
      <c r="H96" s="57" t="n"/>
      <c r="L96" s="936" t="n"/>
      <c r="M96" s="936" t="n"/>
    </row>
    <row r="97" ht="15.6" customHeight="1">
      <c r="G97" s="44" t="n"/>
      <c r="H97" s="57" t="n"/>
      <c r="L97" s="936" t="n"/>
      <c r="M97" s="936" t="n"/>
    </row>
    <row r="98">
      <c r="L98" s="936" t="n"/>
      <c r="M98" s="936" t="n"/>
    </row>
    <row r="99">
      <c r="L99" s="936" t="n"/>
      <c r="M99" s="936" t="n"/>
    </row>
    <row r="100">
      <c r="L100" s="936" t="n"/>
      <c r="M100" s="936" t="n"/>
    </row>
    <row r="101">
      <c r="L101" s="936" t="n"/>
      <c r="M101" s="936" t="n"/>
    </row>
    <row r="102">
      <c r="L102" s="936" t="n"/>
      <c r="M102" s="936" t="n"/>
    </row>
    <row r="103">
      <c r="L103" s="936" t="n"/>
      <c r="M103" s="936" t="n"/>
    </row>
    <row r="104">
      <c r="L104" s="936" t="n"/>
      <c r="M104" s="936" t="n"/>
    </row>
    <row r="105">
      <c r="D105" s="1" t="inlineStr">
        <is>
          <t>Indumentaria</t>
        </is>
      </c>
      <c r="E105" s="972">
        <f>J30*80%</f>
        <v/>
      </c>
      <c r="F105" s="503">
        <f>10000/12/187</f>
        <v/>
      </c>
      <c r="L105" s="936" t="n"/>
      <c r="M105" s="936" t="n"/>
    </row>
    <row r="106">
      <c r="D106" s="1" t="inlineStr">
        <is>
          <t>Servicio Médico</t>
        </is>
      </c>
      <c r="E106" s="972" t="n">
        <v>1</v>
      </c>
      <c r="F106" s="1" t="n">
        <v>1.9</v>
      </c>
      <c r="L106" s="936" t="n"/>
      <c r="M106" s="936" t="n"/>
    </row>
    <row r="107">
      <c r="D107" s="1" t="inlineStr">
        <is>
          <t>Transporte</t>
        </is>
      </c>
      <c r="E107" s="972">
        <f>J91</f>
        <v/>
      </c>
      <c r="F107" s="503">
        <f>5000/187</f>
        <v/>
      </c>
      <c r="G107" s="44" t="n"/>
      <c r="L107" s="936" t="n"/>
      <c r="M107" s="936" t="n"/>
    </row>
    <row r="108">
      <c r="D108" s="1" t="inlineStr">
        <is>
          <t>Refrigerio</t>
        </is>
      </c>
      <c r="E108" s="972">
        <f>J89</f>
        <v/>
      </c>
      <c r="F108" s="1">
        <f>180/8</f>
        <v/>
      </c>
      <c r="L108" s="936" t="n"/>
      <c r="M108" s="936" t="n"/>
    </row>
    <row r="109">
      <c r="D109" s="1" t="inlineStr">
        <is>
          <t>Otros (EPP)</t>
        </is>
      </c>
      <c r="E109" s="972">
        <f>20%*E105</f>
        <v/>
      </c>
      <c r="F109" s="1">
        <f>8.04</f>
        <v/>
      </c>
      <c r="L109" s="936" t="n"/>
      <c r="M109" s="936" t="n"/>
    </row>
    <row r="110">
      <c r="D110" s="1" t="inlineStr">
        <is>
          <t>Consumibles y herramientas</t>
        </is>
      </c>
      <c r="E110" s="972">
        <f>J42+J44+J45+J26+J28+J29</f>
        <v/>
      </c>
      <c r="F110" s="1" t="n">
        <v>12.67</v>
      </c>
      <c r="L110" s="936" t="n"/>
      <c r="M110" s="936" t="n"/>
    </row>
    <row r="111">
      <c r="D111" s="1" t="inlineStr">
        <is>
          <t>Vehiculos y obradores</t>
        </is>
      </c>
      <c r="E111" s="972">
        <f>J41+J42+J27+J92+J62+J64+J65+J69+J74+J75</f>
        <v/>
      </c>
      <c r="F111" s="1" t="n">
        <v>49.39</v>
      </c>
      <c r="L111" s="936" t="n"/>
      <c r="M111" s="936" t="n"/>
    </row>
    <row r="112">
      <c r="D112" s="1" t="inlineStr">
        <is>
          <t>Costos Estructura No Operativa</t>
        </is>
      </c>
      <c r="E112" s="972">
        <f>J15+J35+J51+J52</f>
        <v/>
      </c>
      <c r="F112" s="1" t="n">
        <v>39.9</v>
      </c>
      <c r="L112" s="936" t="n"/>
      <c r="M112" s="936" t="n"/>
    </row>
    <row r="113">
      <c r="E113" s="973">
        <f>SUM(E105:E112)</f>
        <v/>
      </c>
      <c r="F113" s="973">
        <f>SUM(F105:F112)</f>
        <v/>
      </c>
      <c r="L113" s="936" t="n"/>
      <c r="M113" s="936" t="n"/>
    </row>
    <row r="114">
      <c r="L114" s="936" t="n"/>
      <c r="M114" s="936" t="n"/>
    </row>
    <row r="115">
      <c r="L115" s="936" t="n"/>
      <c r="M115" s="936" t="n"/>
    </row>
    <row r="116">
      <c r="L116" s="936" t="n"/>
      <c r="M116" s="936" t="n"/>
    </row>
    <row r="117">
      <c r="L117" s="936" t="n"/>
      <c r="M117" s="936" t="n"/>
    </row>
    <row r="118">
      <c r="L118" s="936" t="n"/>
      <c r="M118" s="936" t="n"/>
    </row>
    <row r="119">
      <c r="L119" s="936" t="n"/>
      <c r="M119" s="936" t="n"/>
    </row>
    <row r="120">
      <c r="L120" s="936" t="n"/>
      <c r="M120" s="936" t="n"/>
    </row>
    <row r="121">
      <c r="L121" s="936" t="n"/>
      <c r="M121" s="936" t="n"/>
    </row>
    <row r="122">
      <c r="L122" s="936" t="n"/>
      <c r="M122" s="936" t="n"/>
    </row>
    <row r="123">
      <c r="L123" s="936" t="n"/>
      <c r="M123" s="936" t="n"/>
    </row>
    <row r="124">
      <c r="L124" s="936" t="n"/>
      <c r="M124" s="936" t="n"/>
    </row>
    <row r="125">
      <c r="L125" s="936" t="n"/>
      <c r="M125" s="936" t="n"/>
    </row>
    <row r="126">
      <c r="L126" s="936" t="n"/>
      <c r="M126" s="936" t="n"/>
    </row>
    <row r="127">
      <c r="L127" s="936" t="n"/>
      <c r="M127" s="936" t="n"/>
    </row>
    <row r="128">
      <c r="L128" s="936" t="n"/>
      <c r="M128" s="936" t="n"/>
    </row>
    <row r="129">
      <c r="L129" s="936" t="n"/>
      <c r="M129" s="936" t="n"/>
    </row>
    <row r="130">
      <c r="L130" s="936" t="n"/>
      <c r="M130" s="936" t="n"/>
    </row>
    <row r="131">
      <c r="L131" s="936" t="n"/>
      <c r="M131" s="936" t="n"/>
    </row>
    <row r="132">
      <c r="L132" s="936" t="n"/>
    </row>
    <row r="133">
      <c r="L133" s="936" t="n"/>
    </row>
    <row r="134">
      <c r="L134" s="936" t="n"/>
    </row>
  </sheetData>
  <mergeCells count="23">
    <mergeCell ref="B7:C7"/>
    <mergeCell ref="B13:D13"/>
    <mergeCell ref="B1:J1"/>
    <mergeCell ref="C88:D88"/>
    <mergeCell ref="C73:D73"/>
    <mergeCell ref="B19:D19"/>
    <mergeCell ref="D2:H2"/>
    <mergeCell ref="B40:D40"/>
    <mergeCell ref="C50:D50"/>
    <mergeCell ref="E94:F96"/>
    <mergeCell ref="C55:D55"/>
    <mergeCell ref="C80:D80"/>
    <mergeCell ref="B33:D33"/>
    <mergeCell ref="D7:E7"/>
    <mergeCell ref="C61:D61"/>
    <mergeCell ref="B11:E11"/>
    <mergeCell ref="D4:H4"/>
    <mergeCell ref="B9:C9"/>
    <mergeCell ref="B25:D25"/>
    <mergeCell ref="D3:H3"/>
    <mergeCell ref="C67:D67"/>
    <mergeCell ref="D5:H5"/>
    <mergeCell ref="B48:D48"/>
  </mergeCells>
  <printOptions horizontalCentered="1"/>
  <pageMargins left="0.4330708661417323" right="0.3149606299212598" top="0.5118110236220472" bottom="0.7480314960629921" header="0" footer="0"/>
  <pageSetup orientation="portrait" paperSize="9" scale="41" horizontalDpi="300" verticalDpi="300"/>
  <headerFooter alignWithMargins="0">
    <oddHeader/>
    <oddFooter>&amp;L&amp;"Arial,Negrita"IMA S.I. Argentina S.A.&amp;C&amp;P/&amp;N&amp;R&amp;F - CONFIDENCIAL</oddFooter>
    <evenHeader/>
    <evenFooter/>
    <firstHeader/>
    <firstFooter/>
  </headerFooter>
  <rowBreaks count="1" manualBreakCount="1">
    <brk id="46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97"/>
  <sheetViews>
    <sheetView showGridLines="0" view="pageBreakPreview" topLeftCell="A4" zoomScale="75" zoomScaleNormal="75" zoomScaleSheetLayoutView="100" workbookViewId="0">
      <selection activeCell="E86" sqref="E86"/>
    </sheetView>
  </sheetViews>
  <sheetFormatPr baseColWidth="10" defaultColWidth="11.44140625" defaultRowHeight="13.2"/>
  <cols>
    <col width="4.5546875" customWidth="1" min="1" max="1"/>
    <col width="17.88671875" bestFit="1" customWidth="1" min="2" max="2"/>
    <col width="54.109375" bestFit="1" customWidth="1" min="3" max="3"/>
    <col width="20.33203125" customWidth="1" min="4" max="4"/>
    <col width="25.109375" bestFit="1" customWidth="1" min="5" max="5"/>
    <col width="20" customWidth="1" min="6" max="6"/>
    <col width="16.33203125" customWidth="1" style="823" min="7" max="7"/>
    <col width="2.88671875" customWidth="1" min="8" max="8"/>
    <col width="15.88671875" bestFit="1" customWidth="1" min="9" max="9"/>
    <col width="14" customWidth="1" min="11" max="11"/>
    <col width="12.6640625" bestFit="1" customWidth="1" min="12" max="12"/>
    <col width="12.109375" bestFit="1" customWidth="1" min="14" max="14"/>
  </cols>
  <sheetData>
    <row r="1" ht="45.75" customHeight="1" thickBot="1">
      <c r="A1" s="916" t="inlineStr">
        <is>
          <t>PRESUPUESTO INTERNO DE COSTOS Y GASTOS</t>
        </is>
      </c>
      <c r="B1" s="917" t="n"/>
      <c r="C1" s="917" t="n"/>
      <c r="D1" s="917" t="n"/>
      <c r="E1" s="917" t="n"/>
      <c r="F1" s="917" t="n"/>
      <c r="G1" s="17" t="n"/>
    </row>
    <row r="2" ht="35.1" customHeight="1">
      <c r="A2" s="254" t="n"/>
      <c r="B2" s="540" t="inlineStr">
        <is>
          <t>CLIENTE:</t>
        </is>
      </c>
      <c r="C2" s="725">
        <f>+'Sintesis Economica'!C2</f>
        <v/>
      </c>
      <c r="D2" s="169" t="n"/>
      <c r="E2" s="856" t="n"/>
      <c r="F2" s="252" t="inlineStr">
        <is>
          <t>J. de PROYECTO:</t>
        </is>
      </c>
      <c r="G2" s="249">
        <f>+'Sintesis Economica'!J2</f>
        <v/>
      </c>
    </row>
    <row r="3" ht="35.1" customHeight="1">
      <c r="A3" s="254" t="n"/>
      <c r="B3" s="540" t="inlineStr">
        <is>
          <t>OBRA :</t>
        </is>
      </c>
      <c r="C3" s="726">
        <f>+'Sintesis Economica'!C3</f>
        <v/>
      </c>
      <c r="D3" s="846" t="n"/>
      <c r="E3" s="847" t="n"/>
      <c r="F3" s="252" t="inlineStr">
        <is>
          <t>Elaboró:</t>
        </is>
      </c>
      <c r="G3" s="250">
        <f>+'Sintesis Economica'!J3</f>
        <v/>
      </c>
    </row>
    <row r="4" ht="35.1" customHeight="1">
      <c r="A4" s="254" t="n"/>
      <c r="B4" s="540" t="inlineStr">
        <is>
          <t>PLIEGO / E.T.P.:</t>
        </is>
      </c>
      <c r="C4" s="726">
        <f>+'Sintesis Economica'!C5</f>
        <v/>
      </c>
      <c r="D4" s="846" t="n"/>
      <c r="E4" s="847" t="n"/>
      <c r="F4" s="252" t="inlineStr">
        <is>
          <t>Revisó:</t>
        </is>
      </c>
      <c r="G4" s="250">
        <f>+'Sintesis Economica'!J4</f>
        <v/>
      </c>
    </row>
    <row r="5" ht="35.1" customHeight="1" thickBot="1">
      <c r="A5" s="255" t="n"/>
      <c r="B5" s="543" t="inlineStr">
        <is>
          <t>OFERTA N°:</t>
        </is>
      </c>
      <c r="C5" s="727">
        <f>+'Sintesis Economica'!C6</f>
        <v/>
      </c>
      <c r="D5" s="921" t="n"/>
      <c r="E5" s="922" t="n"/>
      <c r="F5" s="253" t="inlineStr">
        <is>
          <t>Fecha:</t>
        </is>
      </c>
      <c r="G5" s="923">
        <f>+'Sintesis Economica'!J5</f>
        <v/>
      </c>
      <c r="J5">
        <f>800*41</f>
        <v/>
      </c>
    </row>
    <row r="6" ht="6" customHeight="1" thickBot="1">
      <c r="A6" s="4" t="n"/>
      <c r="B6" s="4" t="n"/>
      <c r="C6" s="4" t="n"/>
      <c r="D6" s="4" t="n"/>
      <c r="E6" s="4" t="n"/>
    </row>
    <row r="7" ht="54.75" customHeight="1" thickBot="1">
      <c r="A7" s="931" t="inlineStr">
        <is>
          <t>DOTACIÓN</t>
        </is>
      </c>
      <c r="B7" s="917" t="n"/>
      <c r="C7" s="17" t="n"/>
      <c r="D7" s="974">
        <f>SUM('1 MANO DE OBRA'!C15:C20)</f>
        <v/>
      </c>
      <c r="E7" s="933" t="inlineStr">
        <is>
          <t>COSTOS TOTALES</t>
        </is>
      </c>
      <c r="F7" s="935" t="inlineStr">
        <is>
          <t>COSTOS UNITARIOS</t>
        </is>
      </c>
      <c r="G7" s="935" t="inlineStr">
        <is>
          <t>% DE DISTRIBUCIÓN</t>
        </is>
      </c>
    </row>
    <row r="8" ht="6" customHeight="1" thickBot="1">
      <c r="A8" s="4" t="n"/>
      <c r="B8" s="4" t="n"/>
      <c r="C8" s="4" t="n"/>
      <c r="D8" s="4" t="n"/>
      <c r="E8" s="4" t="n"/>
    </row>
    <row r="9" ht="27" customHeight="1" thickBot="1">
      <c r="A9" s="975" t="inlineStr">
        <is>
          <t>ITEMS</t>
        </is>
      </c>
      <c r="B9" s="917" t="n"/>
      <c r="C9" s="917" t="n"/>
      <c r="D9" s="17" t="n"/>
      <c r="E9" s="976">
        <f>E11+E19+E25+E33+E40+E48</f>
        <v/>
      </c>
      <c r="F9" s="976">
        <f>E9/$D$7</f>
        <v/>
      </c>
      <c r="G9" s="43">
        <f>+SUM(G11:G48)</f>
        <v/>
      </c>
      <c r="I9" s="965" t="n"/>
      <c r="J9" s="977" t="n"/>
    </row>
    <row r="10" ht="6" customHeight="1">
      <c r="A10" s="843" t="n"/>
      <c r="B10" s="843" t="n"/>
      <c r="C10" s="843" t="n"/>
      <c r="D10" s="843" t="n"/>
      <c r="E10" s="843" t="n"/>
    </row>
    <row r="11" ht="13.8" customHeight="1">
      <c r="A11" s="737" t="inlineStr">
        <is>
          <t>1- MANO DE OBRA</t>
        </is>
      </c>
      <c r="B11" s="846" t="n"/>
      <c r="C11" s="846" t="n"/>
      <c r="D11" s="5" t="n"/>
      <c r="E11" s="951">
        <f>SUM(E12:E15)</f>
        <v/>
      </c>
      <c r="F11" s="978">
        <f>E11/$D$7</f>
        <v/>
      </c>
      <c r="G11" s="554">
        <f>E11/$E$9</f>
        <v/>
      </c>
      <c r="I11" s="979">
        <f>+(I12-I13)*0</f>
        <v/>
      </c>
      <c r="J11" t="inlineStr">
        <is>
          <t>COSTO NO CUBIERTO</t>
        </is>
      </c>
    </row>
    <row r="12">
      <c r="A12" s="4" t="n"/>
      <c r="B12" s="4" t="n"/>
      <c r="C12" s="6" t="inlineStr">
        <is>
          <t>1.1 Directa (Personal de Convenio)</t>
        </is>
      </c>
      <c r="D12" s="549" t="n"/>
      <c r="E12" s="980">
        <f>'1 MANO DE OBRA'!L24</f>
        <v/>
      </c>
      <c r="F12" s="920" t="n"/>
      <c r="I12" s="861">
        <f>2700*2.1/(6*187)</f>
        <v/>
      </c>
      <c r="J12" t="inlineStr">
        <is>
          <t>COSTO SUPERVISOR ADICIONALES</t>
        </is>
      </c>
    </row>
    <row r="13">
      <c r="A13" s="4" t="n"/>
      <c r="B13" s="4" t="n"/>
      <c r="C13" s="6" t="inlineStr">
        <is>
          <t>1.2 Indirecta (Personal fuera de Convenio)</t>
        </is>
      </c>
      <c r="D13" s="549" t="n"/>
      <c r="E13" s="980">
        <f>'1 MANO DE OBRA'!L36</f>
        <v/>
      </c>
      <c r="I13" s="861">
        <f>+E13/D7*15%</f>
        <v/>
      </c>
      <c r="J13" t="inlineStr">
        <is>
          <t>COSTO MO SUPERVISION PONDERADA</t>
        </is>
      </c>
    </row>
    <row r="14">
      <c r="A14" s="4" t="n"/>
      <c r="B14" s="209" t="n">
        <v>1</v>
      </c>
      <c r="C14" s="6" t="inlineStr">
        <is>
          <t>1.3 Cobertura de licencias (Horas-Hombre)</t>
        </is>
      </c>
      <c r="D14" s="550" t="n"/>
      <c r="E14" s="980">
        <f>+D14*$E$17</f>
        <v/>
      </c>
    </row>
    <row r="15">
      <c r="A15" s="4" t="n"/>
      <c r="B15" s="4" t="n"/>
      <c r="C15" s="6" t="inlineStr">
        <is>
          <t>1.4 Mano de Obra Eventual</t>
        </is>
      </c>
      <c r="D15" s="549" t="n"/>
      <c r="E15" s="980" t="n"/>
    </row>
    <row r="16" ht="6" customHeight="1">
      <c r="A16" s="4" t="n"/>
      <c r="B16" s="4" t="n"/>
      <c r="C16" s="4" t="n"/>
      <c r="D16" s="8" t="n"/>
      <c r="E16" s="959" t="n"/>
    </row>
    <row r="17" ht="15" customHeight="1">
      <c r="A17" s="4" t="n"/>
      <c r="B17" s="4" t="n"/>
      <c r="C17" s="555" t="inlineStr">
        <is>
          <t>COSTO HORA HOMBRE DE REFERENCIA P/COBERTURA DE LICENCIAS</t>
        </is>
      </c>
      <c r="D17" s="8" t="n"/>
      <c r="E17" s="981" t="n">
        <v>25</v>
      </c>
    </row>
    <row r="18" ht="6" customHeight="1">
      <c r="A18" s="4" t="n"/>
      <c r="B18" s="4" t="n"/>
      <c r="C18" s="4" t="n"/>
      <c r="D18" s="8" t="n"/>
      <c r="E18" s="959" t="n"/>
    </row>
    <row r="19" ht="13.8" customHeight="1">
      <c r="A19" s="737" t="inlineStr">
        <is>
          <t>2- SUMINISTRO DE MATERIALES</t>
        </is>
      </c>
      <c r="B19" s="846" t="n"/>
      <c r="C19" s="846" t="n"/>
      <c r="D19" s="7" t="n"/>
      <c r="E19" s="951">
        <f>SUM(E20:E23)</f>
        <v/>
      </c>
      <c r="F19" s="978">
        <f>E19/$D$7</f>
        <v/>
      </c>
      <c r="G19" s="554">
        <f>E19/$E$9</f>
        <v/>
      </c>
    </row>
    <row r="20">
      <c r="A20" s="4" t="n"/>
      <c r="B20" s="4" t="n"/>
      <c r="C20" s="6" t="inlineStr">
        <is>
          <t>2.1 Materiales Mecánicos</t>
        </is>
      </c>
      <c r="D20" s="7" t="n"/>
      <c r="E20" s="980">
        <f>'2 SUMINISTRO DE MATERIALES'!G20</f>
        <v/>
      </c>
      <c r="F20" s="920" t="n"/>
    </row>
    <row r="21">
      <c r="A21" s="4" t="n"/>
      <c r="B21" s="4" t="n"/>
      <c r="C21" s="6" t="inlineStr">
        <is>
          <t>2.2 Materiales Eléctricos</t>
        </is>
      </c>
      <c r="D21" s="7" t="n"/>
      <c r="E21" s="980">
        <f>'2 SUMINISTRO DE MATERIALES'!G33</f>
        <v/>
      </c>
    </row>
    <row r="22">
      <c r="A22" s="4" t="n"/>
      <c r="B22" s="4" t="n"/>
      <c r="C22" s="6" t="inlineStr">
        <is>
          <t>2.3 Materiales de Automación e Informática</t>
        </is>
      </c>
      <c r="D22" s="7" t="n"/>
      <c r="E22" s="980">
        <f>'2 SUMINISTRO DE MATERIALES'!G39</f>
        <v/>
      </c>
    </row>
    <row r="23">
      <c r="A23" s="4" t="n"/>
      <c r="B23" s="4" t="n"/>
      <c r="C23" s="6" t="inlineStr">
        <is>
          <t>2.4 Materiales Diversos</t>
        </is>
      </c>
      <c r="D23" s="7" t="n"/>
      <c r="E23" s="980">
        <f>'2 SUMINISTRO DE MATERIALES'!G51</f>
        <v/>
      </c>
    </row>
    <row r="24" ht="6" customHeight="1">
      <c r="A24" s="4" t="n"/>
      <c r="B24" s="4" t="n"/>
      <c r="C24" s="4" t="n"/>
      <c r="D24" s="8" t="n"/>
      <c r="E24" s="959" t="n"/>
    </row>
    <row r="25" ht="15.6" customHeight="1">
      <c r="A25" s="737" t="inlineStr">
        <is>
          <t>3- SUMINISTRO DE INSUMOS</t>
        </is>
      </c>
      <c r="B25" s="846" t="n"/>
      <c r="C25" s="846" t="n"/>
      <c r="D25" s="961" t="n"/>
      <c r="E25" s="951">
        <f>SUM(E26:E31)</f>
        <v/>
      </c>
      <c r="F25" s="978">
        <f>E25/$D$7</f>
        <v/>
      </c>
      <c r="G25" s="554">
        <f>E25/$E$9</f>
        <v/>
      </c>
    </row>
    <row r="26">
      <c r="A26" s="4" t="n"/>
      <c r="B26" s="4" t="n"/>
      <c r="C26" s="6" t="inlineStr">
        <is>
          <t>3.1 Insumos consumibles (Insumos de Mantenimto y operación)</t>
        </is>
      </c>
      <c r="D26" s="962" t="n"/>
      <c r="E26" s="980">
        <f>'3 SUMINISTRO DE INSUMOS'!F39</f>
        <v/>
      </c>
      <c r="F26" s="920" t="n"/>
      <c r="I26" s="861">
        <f>+(E26+E30)/D7</f>
        <v/>
      </c>
      <c r="J26" t="inlineStr">
        <is>
          <t>COSTO DE INSUMOS+EPP</t>
        </is>
      </c>
    </row>
    <row r="27">
      <c r="A27" s="4" t="n"/>
      <c r="B27" s="4" t="n"/>
      <c r="C27" s="6" t="inlineStr">
        <is>
          <t>3.2 Combustibles, filtros y lubricantes de Rodados y Máquinas</t>
        </is>
      </c>
      <c r="D27" s="962" t="n"/>
      <c r="E27" s="980">
        <f>'3 SUMINISTRO DE INSUMOS'!F54</f>
        <v/>
      </c>
    </row>
    <row r="28">
      <c r="A28" s="4" t="n"/>
      <c r="B28" s="4" t="n"/>
      <c r="C28" s="6" t="inlineStr">
        <is>
          <t>3.3 Insumos informáticos y de Oficina</t>
        </is>
      </c>
      <c r="D28" s="962" t="n"/>
      <c r="E28" s="980">
        <f>'3 SUMINISTRO DE INSUMOS'!F61</f>
        <v/>
      </c>
    </row>
    <row r="29">
      <c r="A29" s="4" t="n"/>
      <c r="B29" s="4" t="n"/>
      <c r="C29" s="6" t="inlineStr">
        <is>
          <t>3.4 Insumos de Limpieza y Cafetería</t>
        </is>
      </c>
      <c r="D29" s="962" t="n"/>
      <c r="E29" s="980">
        <f>'3 SUMINISTRO DE INSUMOS'!F68</f>
        <v/>
      </c>
    </row>
    <row r="30">
      <c r="A30" s="4" t="n"/>
      <c r="B30" s="4" t="n"/>
      <c r="C30" s="6" t="inlineStr">
        <is>
          <t>3.5 Elementos de Protección Personal y de Seguridad Especiales</t>
        </is>
      </c>
      <c r="D30" s="962" t="n"/>
      <c r="E30" s="980">
        <f>'3 SUMINISTRO DE INSUMOS'!F87</f>
        <v/>
      </c>
    </row>
    <row r="31">
      <c r="A31" s="4" t="n"/>
      <c r="B31" s="4" t="n"/>
      <c r="C31" s="6" t="inlineStr">
        <is>
          <t>3.6 Insumos Diversos</t>
        </is>
      </c>
      <c r="D31" s="962" t="n"/>
      <c r="E31" s="980">
        <f>'3 SUMINISTRO DE INSUMOS'!F96</f>
        <v/>
      </c>
    </row>
    <row r="32" ht="6" customHeight="1">
      <c r="A32" s="4" t="n"/>
      <c r="B32" s="4" t="n"/>
      <c r="C32" s="4" t="n"/>
      <c r="D32" s="8" t="n"/>
      <c r="E32" s="959" t="n"/>
    </row>
    <row r="33" ht="13.8" customHeight="1">
      <c r="A33" s="737" t="inlineStr">
        <is>
          <t>4- SUBCONTRATACIONES</t>
        </is>
      </c>
      <c r="B33" s="846" t="n"/>
      <c r="C33" s="846" t="n"/>
      <c r="D33" s="9" t="n"/>
      <c r="E33" s="951">
        <f>SUM(E34:E38)</f>
        <v/>
      </c>
      <c r="F33" s="978">
        <f>E33/$D$7</f>
        <v/>
      </c>
      <c r="G33" s="554">
        <f>E33/$E$9</f>
        <v/>
      </c>
    </row>
    <row r="34">
      <c r="A34" s="4" t="n"/>
      <c r="B34" s="4" t="n"/>
      <c r="C34" s="6" t="inlineStr">
        <is>
          <t>4.1 Honorarios Profesionales</t>
        </is>
      </c>
      <c r="D34" s="7" t="n"/>
      <c r="E34" s="980">
        <f>+'4 SUBCONTRATACIONES'!F26</f>
        <v/>
      </c>
      <c r="F34" s="920" t="n"/>
    </row>
    <row r="35">
      <c r="A35" s="4" t="n"/>
      <c r="B35" s="4" t="n"/>
      <c r="C35" s="6" t="inlineStr">
        <is>
          <t>4.2 Servicios Técnicos Especializados</t>
        </is>
      </c>
      <c r="D35" s="7" t="n"/>
      <c r="E35" s="980">
        <f>+'4 SUBCONTRATACIONES'!F47</f>
        <v/>
      </c>
    </row>
    <row r="36">
      <c r="A36" s="4" t="n"/>
      <c r="B36" s="4" t="n"/>
      <c r="C36" s="6" t="inlineStr">
        <is>
          <t>4.3 Transportes, Fletes, Carga y descarga</t>
        </is>
      </c>
      <c r="D36" s="7" t="n"/>
      <c r="E36" s="980">
        <f>+'4 SUBCONTRATACIONES'!F68</f>
        <v/>
      </c>
    </row>
    <row r="37">
      <c r="A37" s="4" t="n"/>
      <c r="B37" s="4" t="n"/>
      <c r="C37" s="6" t="inlineStr">
        <is>
          <t>4.4 Trabajos ejecutados por Terceros</t>
        </is>
      </c>
      <c r="D37" s="7" t="n"/>
      <c r="E37" s="980">
        <f>+'4 SUBCONTRATACIONES'!F89</f>
        <v/>
      </c>
    </row>
    <row r="38">
      <c r="A38" s="4" t="n"/>
      <c r="B38" s="4" t="n"/>
      <c r="C38" s="6" t="inlineStr">
        <is>
          <t>4.5 Servicio Varios / Otros</t>
        </is>
      </c>
      <c r="D38" s="7" t="n"/>
      <c r="E38" s="980">
        <f>+'4 SUBCONTRATACIONES'!F110</f>
        <v/>
      </c>
    </row>
    <row r="39" ht="6" customHeight="1">
      <c r="A39" s="4" t="n"/>
      <c r="B39" s="4" t="n"/>
      <c r="C39" s="4" t="n"/>
      <c r="D39" s="8" t="n"/>
      <c r="E39" s="959" t="n"/>
    </row>
    <row r="40" ht="13.8" customHeight="1">
      <c r="A40" s="737" t="inlineStr">
        <is>
          <t>5- AMORTIZACIONES</t>
        </is>
      </c>
      <c r="B40" s="846" t="n"/>
      <c r="C40" s="846" t="n"/>
      <c r="D40" s="9" t="n"/>
      <c r="E40" s="951">
        <f>SUM(E41:E46)</f>
        <v/>
      </c>
      <c r="F40" s="978">
        <f>E40/$D$7</f>
        <v/>
      </c>
      <c r="G40" s="554">
        <f>E40/$E$9</f>
        <v/>
      </c>
    </row>
    <row r="41">
      <c r="A41" s="4" t="n"/>
      <c r="B41" s="4" t="n"/>
      <c r="C41" s="6" t="inlineStr">
        <is>
          <t>5.1 Amortizacion de Rodados</t>
        </is>
      </c>
      <c r="D41" s="7" t="n"/>
      <c r="E41" s="980">
        <f>+'5 AMORTIZACIÓN'!K10</f>
        <v/>
      </c>
      <c r="F41" s="920" t="n"/>
    </row>
    <row r="42">
      <c r="A42" s="4" t="n"/>
      <c r="B42" s="4" t="n"/>
      <c r="C42" s="6" t="inlineStr">
        <is>
          <t>5.2 Amortización de Muebles y Útiles</t>
        </is>
      </c>
      <c r="D42" s="7" t="n"/>
      <c r="E42" s="980">
        <f>+'5 AMORTIZACIÓN'!K23</f>
        <v/>
      </c>
    </row>
    <row r="43">
      <c r="A43" s="4" t="n"/>
      <c r="B43" s="4" t="n"/>
      <c r="C43" s="6" t="inlineStr">
        <is>
          <t>5.3 Amortización de Instalaciones y adecuación de locales</t>
        </is>
      </c>
      <c r="D43" s="7" t="n"/>
      <c r="E43" s="980">
        <f>+'5 AMORTIZACIÓN'!K36</f>
        <v/>
      </c>
    </row>
    <row r="44">
      <c r="A44" s="4" t="n"/>
      <c r="B44" s="4" t="n"/>
      <c r="C44" s="6" t="inlineStr">
        <is>
          <t>5.4 Amortización de Medios Informáticos y de Comunicación</t>
        </is>
      </c>
      <c r="D44" s="7" t="n"/>
      <c r="E44" s="980">
        <f>+'5 AMORTIZACIÓN'!K49</f>
        <v/>
      </c>
    </row>
    <row r="45">
      <c r="A45" s="4" t="n"/>
      <c r="B45" s="4" t="n"/>
      <c r="C45" s="6" t="inlineStr">
        <is>
          <t>5.5 Amortización de Máquinas y Herramientas</t>
        </is>
      </c>
      <c r="D45" s="7" t="n"/>
      <c r="E45" s="980">
        <f>+'5 AMORTIZACIÓN'!K62</f>
        <v/>
      </c>
      <c r="I45" s="861">
        <f>+E45/D7*20%</f>
        <v/>
      </c>
      <c r="J45" t="inlineStr">
        <is>
          <t>COSTO AMORT. HTAS PONDERADO</t>
        </is>
      </c>
    </row>
    <row r="46">
      <c r="A46" s="4" t="n"/>
      <c r="B46" s="4" t="n"/>
      <c r="C46" s="6" t="inlineStr">
        <is>
          <t>5.6 Amortización de Gastos de Implementación</t>
        </is>
      </c>
      <c r="D46" s="7" t="n"/>
      <c r="E46" s="980">
        <f>+'5 AMORTIZACIÓN'!K75</f>
        <v/>
      </c>
      <c r="F46" s="920" t="n"/>
    </row>
    <row r="47" ht="6" customHeight="1">
      <c r="A47" s="4" t="n"/>
      <c r="B47" s="4" t="n"/>
      <c r="C47" s="4" t="n"/>
      <c r="D47" s="8" t="n"/>
      <c r="E47" s="959" t="n"/>
    </row>
    <row r="48" ht="13.8" customHeight="1">
      <c r="A48" s="737" t="inlineStr">
        <is>
          <t>6- GASTOS GENERALES</t>
        </is>
      </c>
      <c r="B48" s="846" t="n"/>
      <c r="C48" s="846" t="n"/>
      <c r="D48" s="9" t="n"/>
      <c r="E48" s="951">
        <f>E50+E55+E61+E67+E73+E80+E88</f>
        <v/>
      </c>
      <c r="F48" s="978">
        <f>E48/$D$7</f>
        <v/>
      </c>
      <c r="G48" s="554">
        <f>E48/$E$9</f>
        <v/>
      </c>
    </row>
    <row r="49" ht="6" customHeight="1">
      <c r="A49" s="10" t="n"/>
      <c r="B49" s="4" t="n"/>
      <c r="C49" s="4" t="n"/>
      <c r="D49" s="8" t="n"/>
      <c r="E49" s="959" t="n"/>
    </row>
    <row r="50" ht="13.8" customHeight="1">
      <c r="A50" s="4" t="n"/>
      <c r="B50" s="737" t="inlineStr">
        <is>
          <t>6.1 Servicios</t>
        </is>
      </c>
      <c r="C50" s="846" t="n"/>
      <c r="D50" s="9" t="n"/>
      <c r="E50" s="963">
        <f>SUM(E51:E53)</f>
        <v/>
      </c>
      <c r="F50" s="965" t="n"/>
      <c r="J50" t="inlineStr">
        <is>
          <t>TELEFONIA MOVIL NEXTEL</t>
        </is>
      </c>
    </row>
    <row r="51">
      <c r="A51" s="4" t="n"/>
      <c r="B51" s="4" t="n"/>
      <c r="C51" s="6" t="inlineStr">
        <is>
          <t>6.1.1 Servicio de Correos y Bolsas</t>
        </is>
      </c>
      <c r="D51" s="7" t="n"/>
      <c r="E51" s="982" t="n">
        <v>0</v>
      </c>
      <c r="F51" s="920" t="n"/>
      <c r="J51" s="823" t="inlineStr">
        <is>
          <t>TELEFONIA MOVIL</t>
        </is>
      </c>
      <c r="K51" t="inlineStr">
        <is>
          <t>APARATOS</t>
        </is>
      </c>
      <c r="L51" s="861">
        <f>70+15+5+3</f>
        <v/>
      </c>
      <c r="M51" t="inlineStr">
        <is>
          <t>ABONO</t>
        </is>
      </c>
      <c r="N51" s="965">
        <f>+L51*J51</f>
        <v/>
      </c>
      <c r="O51" t="inlineStr">
        <is>
          <t>SOLO RADIO</t>
        </is>
      </c>
    </row>
    <row r="52">
      <c r="A52" s="4" t="n"/>
      <c r="B52" s="4" t="n"/>
      <c r="C52" s="6" t="inlineStr">
        <is>
          <t>6.1.2 Servicio de Telecomunicación</t>
        </is>
      </c>
      <c r="D52" s="7" t="n"/>
      <c r="E52" s="982">
        <f>(0)+N55+N56</f>
        <v/>
      </c>
      <c r="J52" s="823" t="n"/>
      <c r="K52" t="inlineStr">
        <is>
          <t>APARATOS</t>
        </is>
      </c>
      <c r="L52" s="861">
        <f>90+25+5+3</f>
        <v/>
      </c>
      <c r="M52" t="inlineStr">
        <is>
          <t>ABONO</t>
        </is>
      </c>
      <c r="N52" s="965">
        <f>+L52*J52</f>
        <v/>
      </c>
      <c r="O52" t="inlineStr">
        <is>
          <t>400 min</t>
        </is>
      </c>
    </row>
    <row r="53">
      <c r="A53" s="4" t="n"/>
      <c r="B53" s="4" t="n"/>
      <c r="C53" s="6" t="inlineStr">
        <is>
          <t>6.1.3 Servicios esenciales (Electricidad, Agua y Gas)</t>
        </is>
      </c>
      <c r="D53" s="7" t="n"/>
      <c r="E53" s="982" t="n"/>
      <c r="J53" s="823" t="n">
        <v>4</v>
      </c>
      <c r="K53" t="inlineStr">
        <is>
          <t>APARATOS</t>
        </is>
      </c>
      <c r="L53" s="861" t="n">
        <v>25000</v>
      </c>
      <c r="M53" t="inlineStr">
        <is>
          <t>ABONO</t>
        </is>
      </c>
      <c r="N53" s="965">
        <f>+L53*J53</f>
        <v/>
      </c>
      <c r="O53" t="inlineStr">
        <is>
          <t>200 min</t>
        </is>
      </c>
    </row>
    <row r="54" ht="6" customHeight="1">
      <c r="A54" s="4" t="n"/>
      <c r="B54" s="4" t="n"/>
      <c r="C54" s="4" t="n"/>
      <c r="D54" s="8" t="n"/>
      <c r="E54" s="959" t="n"/>
    </row>
    <row r="55" ht="17.4" customHeight="1">
      <c r="A55" s="4" t="n"/>
      <c r="B55" s="737" t="inlineStr">
        <is>
          <t>6.2 Alquileres y Leassing</t>
        </is>
      </c>
      <c r="C55" s="846" t="n"/>
      <c r="D55" s="9" t="n"/>
      <c r="E55" s="963">
        <f>SUM(E56:E59)</f>
        <v/>
      </c>
      <c r="F55" s="965" t="n"/>
      <c r="J55" s="823" t="n"/>
      <c r="N55" s="983">
        <f>+SUM(N51:N53)</f>
        <v/>
      </c>
    </row>
    <row r="56">
      <c r="A56" s="4" t="n"/>
      <c r="B56" s="4" t="n"/>
      <c r="C56" s="6" t="inlineStr">
        <is>
          <t>6.2.1 Locales</t>
        </is>
      </c>
      <c r="D56" s="7" t="n"/>
      <c r="E56" s="982" t="n">
        <v>0</v>
      </c>
      <c r="F56" s="920" t="n"/>
      <c r="K56" t="inlineStr">
        <is>
          <t>ALQUILER DE APARATOS PROM MES</t>
        </is>
      </c>
      <c r="N56" s="861" t="n">
        <v>60</v>
      </c>
    </row>
    <row r="57">
      <c r="A57" s="4" t="n"/>
      <c r="B57" s="4" t="n"/>
      <c r="C57" s="6" t="inlineStr">
        <is>
          <t>6.2.2 Máquinas y equipos</t>
        </is>
      </c>
      <c r="D57" s="7" t="n"/>
      <c r="E57" s="982" t="n">
        <v>0</v>
      </c>
    </row>
    <row r="58">
      <c r="A58" s="4" t="n"/>
      <c r="B58" s="4" t="n"/>
      <c r="C58" s="6" t="inlineStr">
        <is>
          <t>6.2.3 Rodados</t>
        </is>
      </c>
      <c r="D58" s="7" t="n"/>
      <c r="E58" s="982" t="n">
        <v>0</v>
      </c>
    </row>
    <row r="59">
      <c r="A59" s="4" t="n"/>
      <c r="B59" s="4" t="n"/>
      <c r="C59" s="6" t="inlineStr">
        <is>
          <t>6.2.4 Fotocopiadora, fax y medios de Comunicación</t>
        </is>
      </c>
      <c r="D59" s="7" t="n"/>
      <c r="E59" s="982" t="n">
        <v>0</v>
      </c>
    </row>
    <row r="60" ht="6" customHeight="1">
      <c r="A60" s="4" t="n"/>
      <c r="B60" s="4" t="n"/>
      <c r="C60" s="4" t="n"/>
      <c r="D60" s="8" t="n"/>
      <c r="E60" s="959" t="n"/>
    </row>
    <row r="61" ht="13.8" customHeight="1">
      <c r="A61" s="4" t="n"/>
      <c r="B61" s="739" t="inlineStr">
        <is>
          <t>6.3 Mantenimiento</t>
        </is>
      </c>
      <c r="C61" s="846" t="n"/>
      <c r="D61" s="11" t="n"/>
      <c r="E61" s="963">
        <f>SUM(E62:E65)</f>
        <v/>
      </c>
      <c r="F61" s="965" t="n"/>
    </row>
    <row r="62">
      <c r="A62" s="4" t="n"/>
      <c r="B62" s="4" t="n"/>
      <c r="C62" s="6" t="inlineStr">
        <is>
          <t>6.3.1 Repuestos de Máquinas y Equipos Propios</t>
        </is>
      </c>
      <c r="D62" s="552" t="n">
        <v>0.02</v>
      </c>
      <c r="E62" s="980">
        <f>+'5 AMORTIZACIÓN'!F62/12*D62</f>
        <v/>
      </c>
      <c r="F62" s="920" t="n"/>
    </row>
    <row r="63">
      <c r="A63" s="4" t="n"/>
      <c r="B63" s="4" t="n"/>
      <c r="C63" s="6" t="inlineStr">
        <is>
          <t>6.3.2 Mantenimiento y Refacción de Locales</t>
        </is>
      </c>
      <c r="D63" s="552" t="n">
        <v>0.03</v>
      </c>
      <c r="E63" s="980">
        <f>+'5 AMORTIZACIÓN'!F36/12*D63</f>
        <v/>
      </c>
    </row>
    <row r="64">
      <c r="A64" s="4" t="n"/>
      <c r="B64" s="4" t="n"/>
      <c r="C64" s="6" t="inlineStr">
        <is>
          <t>6.3.3 Mantenimiento Informático</t>
        </is>
      </c>
      <c r="D64" s="552" t="n">
        <v>0.05</v>
      </c>
      <c r="E64" s="980">
        <f>+'5 AMORTIZACIÓN'!F49/12*D64</f>
        <v/>
      </c>
    </row>
    <row r="65">
      <c r="A65" s="4" t="n"/>
      <c r="B65" s="4" t="n"/>
      <c r="C65" s="6" t="inlineStr">
        <is>
          <t>6.3.4 Mantenimiento de Rodados</t>
        </is>
      </c>
      <c r="D65" s="552" t="n">
        <v>0.03</v>
      </c>
      <c r="E65" s="980">
        <f>+'5 AMORTIZACIÓN'!F10/12*D65</f>
        <v/>
      </c>
    </row>
    <row r="66" ht="6" customHeight="1">
      <c r="A66" s="4" t="n"/>
      <c r="B66" s="4" t="n"/>
      <c r="C66" s="4" t="n"/>
      <c r="D66" s="8" t="n"/>
      <c r="E66" s="959" t="n"/>
    </row>
    <row r="67" ht="13.8" customHeight="1">
      <c r="A67" s="4" t="n"/>
      <c r="B67" s="737" t="inlineStr">
        <is>
          <t>6.4 Previsiones Operativas</t>
        </is>
      </c>
      <c r="C67" s="846" t="n"/>
      <c r="D67" s="9" t="n"/>
      <c r="E67" s="963">
        <f>SUM(E68:E71)</f>
        <v/>
      </c>
      <c r="F67" s="965" t="n"/>
    </row>
    <row r="68">
      <c r="A68" s="4" t="n"/>
      <c r="B68" s="4" t="n"/>
      <c r="C68" s="6" t="inlineStr">
        <is>
          <t>6.4.1 Reposición de Medios en Comodato</t>
        </is>
      </c>
      <c r="D68" s="552" t="n"/>
      <c r="E68" s="982" t="n"/>
      <c r="F68" s="920" t="n"/>
    </row>
    <row r="69">
      <c r="A69" s="4" t="n"/>
      <c r="B69" s="4" t="n"/>
      <c r="C69" s="6" t="inlineStr">
        <is>
          <t>6.4.2 Reposición de Herramientas y Medios Propios</t>
        </is>
      </c>
      <c r="D69" s="968" t="n">
        <v>0.03</v>
      </c>
      <c r="E69" s="980">
        <f>'5 AMORTIZACIÓN'!$F$62*D69/12</f>
        <v/>
      </c>
    </row>
    <row r="70">
      <c r="A70" s="4" t="n"/>
      <c r="B70" s="4" t="n"/>
      <c r="C70" s="6" t="inlineStr">
        <is>
          <t>6.4.3 Previsión por Multas y Penalizaciones</t>
        </is>
      </c>
      <c r="D70" s="968" t="n">
        <v>0</v>
      </c>
      <c r="E70" s="980">
        <f>(E11+E19+E25+E33+E40)*1.1*D70</f>
        <v/>
      </c>
    </row>
    <row r="71">
      <c r="A71" s="4" t="n"/>
      <c r="B71" s="4" t="n"/>
      <c r="C71" s="6" t="inlineStr">
        <is>
          <t>6.4.4 Otras Previsiones - Imprevistos</t>
        </is>
      </c>
      <c r="D71" s="968" t="n">
        <v>0</v>
      </c>
      <c r="E71" s="980">
        <f>+(E11+E19+E25+E33)*D71</f>
        <v/>
      </c>
    </row>
    <row r="72" ht="6" customHeight="1">
      <c r="A72" s="4" t="n"/>
      <c r="B72" s="4" t="n"/>
      <c r="C72" s="4" t="n"/>
      <c r="D72" s="8" t="n"/>
      <c r="E72" s="959" t="n"/>
    </row>
    <row r="73" ht="13.8" customHeight="1">
      <c r="A73" s="4" t="n"/>
      <c r="B73" s="739" t="inlineStr">
        <is>
          <t>6.5 Seguros</t>
        </is>
      </c>
      <c r="C73" s="846" t="n"/>
      <c r="D73" s="11" t="n"/>
      <c r="E73" s="963">
        <f>SUM(E74:E78)</f>
        <v/>
      </c>
      <c r="F73" s="965" t="n"/>
    </row>
    <row r="74">
      <c r="A74" s="4" t="n"/>
      <c r="B74" s="4" t="n"/>
      <c r="C74" s="6" t="inlineStr">
        <is>
          <t>6.5.1 Seguros de Rodados</t>
        </is>
      </c>
      <c r="D74" s="968" t="n"/>
      <c r="E74" s="982" t="n">
        <v>0</v>
      </c>
      <c r="F74" s="920" t="n"/>
      <c r="I74" t="n">
        <v>30000</v>
      </c>
    </row>
    <row r="75">
      <c r="A75" s="4" t="n"/>
      <c r="B75" s="969" t="n"/>
      <c r="C75" s="6" t="inlineStr">
        <is>
          <t>6.5.2 Seguro de Responsabilidad Civil</t>
        </is>
      </c>
      <c r="D75" s="984">
        <f>+E75/$E$9</f>
        <v/>
      </c>
      <c r="E75" s="980">
        <f>+I75/12/2</f>
        <v/>
      </c>
      <c r="I75" s="965" t="n">
        <v>0</v>
      </c>
      <c r="J75" t="inlineStr">
        <is>
          <t>POLIZA ANUAL POR $1.000.000</t>
        </is>
      </c>
    </row>
    <row r="76">
      <c r="A76" s="4" t="n"/>
      <c r="B76" s="4" t="n"/>
      <c r="C76" s="6" t="inlineStr">
        <is>
          <t>6.5.3 Seguro de Caución</t>
        </is>
      </c>
      <c r="D76" s="968" t="n"/>
      <c r="E76" s="982">
        <f>+I76</f>
        <v/>
      </c>
      <c r="I76" s="861" t="n"/>
    </row>
    <row r="77">
      <c r="A77" s="4" t="n"/>
      <c r="B77" s="4" t="n"/>
      <c r="C77" s="6" t="inlineStr">
        <is>
          <t>6.5.4 Seguro de Máquinas, muebles y útiles</t>
        </is>
      </c>
      <c r="D77" s="968" t="n"/>
      <c r="E77" s="982" t="n">
        <v>0</v>
      </c>
    </row>
    <row r="78">
      <c r="A78" s="4" t="n"/>
      <c r="B78" s="4" t="n"/>
      <c r="C78" s="6" t="inlineStr">
        <is>
          <t>6.5.5 Otras coberturas de Seguro</t>
        </is>
      </c>
      <c r="D78" s="968" t="n"/>
      <c r="E78" s="982" t="n">
        <v>0</v>
      </c>
    </row>
    <row r="79" ht="6" customHeight="1">
      <c r="A79" s="4" t="n"/>
      <c r="B79" s="4" t="n"/>
      <c r="C79" s="4" t="n"/>
      <c r="D79" s="8" t="n"/>
      <c r="E79" s="959" t="n"/>
    </row>
    <row r="80" ht="13.8" customHeight="1">
      <c r="A80" s="4" t="n"/>
      <c r="B80" s="739" t="inlineStr">
        <is>
          <t>6.6 Otros Gastos Generales</t>
        </is>
      </c>
      <c r="C80" s="846" t="n"/>
      <c r="D80" s="11" t="n"/>
      <c r="E80" s="963">
        <f>SUM(E81:E86)</f>
        <v/>
      </c>
    </row>
    <row r="81">
      <c r="A81" s="4" t="n"/>
      <c r="B81" s="4" t="n"/>
      <c r="C81" s="6" t="inlineStr">
        <is>
          <t>6.6.1 Impuesto a los sellos</t>
        </is>
      </c>
      <c r="D81" s="968" t="n"/>
      <c r="E81" s="982" t="n">
        <v>0</v>
      </c>
      <c r="I81" s="970" t="n"/>
    </row>
    <row r="82" ht="16.8" customHeight="1">
      <c r="A82" s="4" t="n"/>
      <c r="B82" s="4" t="n"/>
      <c r="C82" s="6" t="inlineStr">
        <is>
          <t>6.6.2 Garantia de adjudicación</t>
        </is>
      </c>
      <c r="D82" s="968" t="n"/>
      <c r="E82" s="982" t="n">
        <v>0</v>
      </c>
      <c r="I82" s="985" t="n"/>
    </row>
    <row r="83">
      <c r="A83" s="4" t="n"/>
      <c r="B83" s="4" t="n"/>
      <c r="C83" s="6" t="inlineStr">
        <is>
          <t>6.6.3 Fondo de Reparo</t>
        </is>
      </c>
      <c r="D83" s="968" t="n"/>
      <c r="E83" s="982" t="n">
        <v>0</v>
      </c>
      <c r="I83" s="823" t="n"/>
      <c r="J83" s="823" t="n"/>
    </row>
    <row r="84">
      <c r="A84" s="4" t="n"/>
      <c r="B84" s="4" t="n"/>
      <c r="C84" s="6" t="inlineStr">
        <is>
          <t>6.6.4 Costo financiero</t>
        </is>
      </c>
      <c r="D84" s="968" t="n">
        <v>0</v>
      </c>
      <c r="E84" s="980">
        <f>+I84*D84*J84/(12*'Hoja de CIERRE'!AD45)</f>
        <v/>
      </c>
      <c r="I84" s="986" t="n"/>
      <c r="J84" s="823" t="n"/>
    </row>
    <row r="85">
      <c r="A85" s="4" t="n"/>
      <c r="B85" s="4" t="n"/>
      <c r="C85" s="6" t="inlineStr">
        <is>
          <t>6.6.5 Gastos de Rte. Técnico, o Entes Gubernamentales</t>
        </is>
      </c>
      <c r="D85" s="968" t="n"/>
      <c r="E85" s="982" t="n">
        <v>0</v>
      </c>
      <c r="F85" t="inlineStr">
        <is>
          <t>APOYO SINDOICATO</t>
        </is>
      </c>
    </row>
    <row r="86" ht="15" customHeight="1">
      <c r="A86" s="4" t="n"/>
      <c r="B86" s="4" t="n"/>
      <c r="C86" s="6" t="inlineStr">
        <is>
          <t>6.6.6 Otros Gastos Generales (COSTO ESTRUCTURA + IVA RETENIDO)</t>
        </is>
      </c>
      <c r="D86" s="968" t="n"/>
      <c r="E86" s="982">
        <f>0+K86</f>
        <v/>
      </c>
      <c r="I86" s="861" t="n"/>
      <c r="J86" s="823" t="n"/>
      <c r="K86" s="965" t="n"/>
    </row>
    <row r="87" ht="13.5" customHeight="1">
      <c r="A87" s="12" t="n"/>
      <c r="B87" s="4" t="n"/>
      <c r="C87" s="4" t="n"/>
      <c r="D87" s="4" t="n"/>
      <c r="E87" s="970" t="n"/>
    </row>
    <row r="88" ht="13.5" customHeight="1">
      <c r="A88" s="12" t="n"/>
      <c r="B88" s="739" t="inlineStr">
        <is>
          <t>6.7 Viáticos</t>
        </is>
      </c>
      <c r="C88" s="846" t="n"/>
      <c r="D88" s="11" t="n"/>
      <c r="E88" s="963">
        <f>SUM(E89:E92)</f>
        <v/>
      </c>
    </row>
    <row r="89" ht="13.5" customHeight="1">
      <c r="A89" s="12" t="n"/>
      <c r="B89" s="4" t="n"/>
      <c r="C89" s="6" t="inlineStr">
        <is>
          <t>6.7.1 Refrigerios</t>
        </is>
      </c>
      <c r="D89" s="968" t="n"/>
      <c r="E89" s="980">
        <f>'1 MANO DE OBRA'!E53</f>
        <v/>
      </c>
      <c r="I89" s="861" t="n"/>
      <c r="J89" t="inlineStr">
        <is>
          <t>TRANSPORTE</t>
        </is>
      </c>
    </row>
    <row r="90" ht="13.5" customHeight="1">
      <c r="A90" s="12" t="n"/>
      <c r="B90" s="4" t="n"/>
      <c r="C90" s="6" t="inlineStr">
        <is>
          <t>6.7.2 Alojamientos</t>
        </is>
      </c>
      <c r="D90" s="968" t="n"/>
      <c r="E90" s="980">
        <f>'1 MANO DE OBRA'!E58</f>
        <v/>
      </c>
    </row>
    <row r="91" ht="13.5" customHeight="1">
      <c r="A91" s="12" t="n"/>
      <c r="B91" s="4" t="n"/>
      <c r="C91" s="6" t="inlineStr">
        <is>
          <t>6.7.3 Traslados</t>
        </is>
      </c>
      <c r="D91" s="968" t="n"/>
      <c r="E91" s="980">
        <f>'1 MANO DE OBRA'!E63</f>
        <v/>
      </c>
    </row>
    <row r="92" ht="13.5" customHeight="1">
      <c r="A92" s="12" t="n"/>
      <c r="B92" s="4" t="n"/>
      <c r="C92" s="6" t="inlineStr">
        <is>
          <t>6.7.4 Vehiculos</t>
        </is>
      </c>
      <c r="D92" s="968" t="n"/>
      <c r="E92" s="980">
        <f>'1 MANO DE OBRA'!E68</f>
        <v/>
      </c>
    </row>
    <row r="93" ht="13.5" customHeight="1">
      <c r="A93" s="12" t="n"/>
      <c r="B93" s="4" t="n"/>
      <c r="C93" s="4" t="n"/>
      <c r="D93" s="4" t="n"/>
      <c r="E93" s="970" t="n"/>
    </row>
    <row r="94" ht="13.5" customHeight="1">
      <c r="A94" s="12" t="n"/>
      <c r="B94" s="4" t="n"/>
      <c r="C94" s="4" t="n"/>
      <c r="D94" s="4" t="n"/>
      <c r="E94" s="970" t="n"/>
    </row>
    <row r="95">
      <c r="A95" s="4" t="n"/>
      <c r="B95" s="12" t="n"/>
      <c r="C95" s="4" t="n"/>
      <c r="D95" s="971" t="inlineStr">
        <is>
          <t>Jefe de Proyecto</t>
        </is>
      </c>
      <c r="E95" s="853" t="n"/>
      <c r="F95" s="971" t="inlineStr">
        <is>
          <t>R.U.S. / Resp. PROYECTO</t>
        </is>
      </c>
      <c r="G95" s="853" t="n"/>
    </row>
    <row r="96">
      <c r="A96" s="4" t="n"/>
      <c r="B96" s="4" t="n"/>
      <c r="C96" s="4" t="n"/>
      <c r="D96" s="854" t="n"/>
      <c r="E96" s="849" t="n"/>
      <c r="F96" s="854" t="n"/>
      <c r="G96" s="849" t="n"/>
    </row>
    <row r="97">
      <c r="A97" s="4" t="n"/>
      <c r="B97" s="180" t="n"/>
      <c r="C97" s="4" t="n"/>
      <c r="D97" s="855" t="n"/>
      <c r="E97" s="856" t="n"/>
      <c r="F97" s="855" t="n"/>
      <c r="G97" s="856" t="n"/>
    </row>
  </sheetData>
  <mergeCells count="22">
    <mergeCell ref="A25:C25"/>
    <mergeCell ref="C2:E2"/>
    <mergeCell ref="A9:D9"/>
    <mergeCell ref="A33:C33"/>
    <mergeCell ref="B67:C67"/>
    <mergeCell ref="B61:C61"/>
    <mergeCell ref="B88:C88"/>
    <mergeCell ref="B73:C73"/>
    <mergeCell ref="D95:E97"/>
    <mergeCell ref="A19:C19"/>
    <mergeCell ref="F95:G97"/>
    <mergeCell ref="A1:G1"/>
    <mergeCell ref="A40:C40"/>
    <mergeCell ref="C3:E3"/>
    <mergeCell ref="A48:C48"/>
    <mergeCell ref="B55:C55"/>
    <mergeCell ref="A11:C11"/>
    <mergeCell ref="C5:E5"/>
    <mergeCell ref="B80:C80"/>
    <mergeCell ref="C4:E4"/>
    <mergeCell ref="B50:C50"/>
    <mergeCell ref="A7:C7"/>
  </mergeCells>
  <printOptions horizontalCentered="1"/>
  <pageMargins left="0.42" right="0.3" top="0.5" bottom="0.73" header="0" footer="0"/>
  <pageSetup orientation="portrait" paperSize="9" scale="49" horizontalDpi="300" verticalDpi="300"/>
  <headerFooter alignWithMargins="0">
    <oddHeader/>
    <oddFooter>&amp;L&amp;"Arial,Normal"&amp;8 Polymont Argentina SA Confidencial_x000a_CALI-F-052-04/03/02&amp;C&amp;P/&amp;N&amp;R&amp;6 &amp;D/&amp;T/&amp;F/&amp;A_x000a_Edita : D. SPONTON / Revisa : L. CHIALVO / Aprueba : G. JORAY</oddFooter>
    <evenHeader/>
    <evenFooter/>
    <firstHeader/>
    <firstFooter/>
  </headerFooter>
  <rowBreaks count="1" manualBreakCount="1">
    <brk id="46" min="0" max="16383" man="1"/>
  </row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P86"/>
  <sheetViews>
    <sheetView showGridLines="0" view="pageBreakPreview" topLeftCell="A16" zoomScale="68" zoomScaleNormal="100" zoomScaleSheetLayoutView="68" workbookViewId="0">
      <selection activeCell="C19" sqref="C19"/>
    </sheetView>
  </sheetViews>
  <sheetFormatPr baseColWidth="10" defaultColWidth="11.44140625" defaultRowHeight="13.2"/>
  <cols>
    <col width="3" customWidth="1" min="1" max="1"/>
    <col width="53.44140625" bestFit="1" customWidth="1" min="2" max="2"/>
    <col width="17" customWidth="1" min="3" max="3"/>
    <col width="12.6640625" customWidth="1" min="4" max="4"/>
    <col width="18.5546875" customWidth="1" min="5" max="5"/>
    <col width="13.44140625" bestFit="1" customWidth="1" min="6" max="6"/>
    <col width="11.88671875" bestFit="1" customWidth="1" min="7" max="7"/>
    <col width="11.5546875" customWidth="1" min="8" max="8"/>
    <col width="20.6640625" customWidth="1" min="9" max="10"/>
    <col width="31.5546875" customWidth="1" min="11" max="11"/>
    <col width="24.6640625" bestFit="1" customWidth="1" min="12" max="12"/>
    <col width="12.109375" bestFit="1" customWidth="1" min="13" max="13"/>
    <col width="5.5546875" bestFit="1" customWidth="1" style="823" min="14" max="14"/>
    <col width="3.109375" customWidth="1" min="15" max="15"/>
  </cols>
  <sheetData>
    <row r="1" ht="21" customHeight="1">
      <c r="B1" s="30" t="n"/>
      <c r="C1" s="613" t="inlineStr">
        <is>
          <t>1 - MANO DE OBRA</t>
        </is>
      </c>
      <c r="D1" s="99" t="n"/>
      <c r="E1" s="99" t="n"/>
      <c r="F1" s="99" t="n"/>
      <c r="G1" s="99" t="n"/>
      <c r="H1" s="99" t="n"/>
      <c r="I1" s="99" t="n"/>
      <c r="J1" s="98" t="n"/>
      <c r="K1" s="99" t="n"/>
      <c r="L1" s="100" t="n"/>
    </row>
    <row r="2" ht="10.5" customHeight="1">
      <c r="B2" s="2" t="n"/>
      <c r="C2" s="205" t="n"/>
      <c r="D2" s="205" t="n"/>
      <c r="E2" s="205" t="n"/>
      <c r="F2" s="205" t="n"/>
      <c r="G2" s="205" t="n"/>
      <c r="H2" s="205" t="n"/>
      <c r="I2" s="205" t="n"/>
      <c r="J2" s="4" t="n"/>
      <c r="L2" s="206" t="n"/>
    </row>
    <row r="3">
      <c r="B3" s="558" t="inlineStr">
        <is>
          <t>CLIENTE:</t>
        </is>
      </c>
      <c r="C3" s="559">
        <f>'Sintesis Economica'!C2</f>
        <v/>
      </c>
      <c r="D3" s="559" t="n"/>
      <c r="E3" s="559" t="n"/>
      <c r="F3" s="559" t="n"/>
      <c r="G3" s="559" t="n"/>
      <c r="H3" s="559" t="n"/>
      <c r="K3" s="3" t="inlineStr">
        <is>
          <t>J. de PROYECTO:</t>
        </is>
      </c>
      <c r="L3" s="110">
        <f>'Sintesis Economica'!J2</f>
        <v/>
      </c>
    </row>
    <row r="4">
      <c r="B4" s="558" t="inlineStr">
        <is>
          <t>OBRA :</t>
        </is>
      </c>
      <c r="C4" s="559">
        <f>'Sintesis Economica'!C3</f>
        <v/>
      </c>
      <c r="D4" s="559" t="n"/>
      <c r="E4" s="559" t="n"/>
      <c r="F4" s="559" t="n"/>
      <c r="G4" s="559" t="n"/>
      <c r="H4" s="559" t="n"/>
      <c r="K4" s="3" t="inlineStr">
        <is>
          <t>Elaboró:</t>
        </is>
      </c>
      <c r="L4" s="110">
        <f>'Sintesis Economica'!J3</f>
        <v/>
      </c>
    </row>
    <row r="5">
      <c r="B5" s="558" t="inlineStr">
        <is>
          <t>PLIEGO / E.T.P.Nº:</t>
        </is>
      </c>
      <c r="C5" s="559">
        <f>'Sintesis Economica'!C5</f>
        <v/>
      </c>
      <c r="D5" s="559" t="n"/>
      <c r="E5" s="559" t="n"/>
      <c r="F5" s="559" t="n"/>
      <c r="G5" s="559" t="n"/>
      <c r="H5" s="559" t="n"/>
      <c r="K5" s="3" t="inlineStr">
        <is>
          <t>Revisó:</t>
        </is>
      </c>
      <c r="L5" s="110">
        <f>'Sintesis Economica'!J4</f>
        <v/>
      </c>
    </row>
    <row r="6" ht="13.8" customHeight="1" thickBot="1">
      <c r="B6" s="560" t="inlineStr">
        <is>
          <t>OFERTA N°:</t>
        </is>
      </c>
      <c r="C6" s="561">
        <f>'Sintesis Economica'!C6</f>
        <v/>
      </c>
      <c r="D6" s="562" t="n"/>
      <c r="E6" s="562" t="n"/>
      <c r="F6" s="562" t="n"/>
      <c r="G6" s="562" t="n"/>
      <c r="H6" s="562" t="n"/>
      <c r="I6" s="22" t="n"/>
      <c r="J6" s="22" t="n"/>
      <c r="K6" s="108" t="inlineStr">
        <is>
          <t>Fecha:</t>
        </is>
      </c>
      <c r="L6" s="109">
        <f>'Sintesis Economica'!J5</f>
        <v/>
      </c>
    </row>
    <row r="7">
      <c r="B7" s="563" t="n"/>
      <c r="C7" s="559" t="n"/>
      <c r="D7" s="559" t="n"/>
      <c r="E7" s="559" t="n"/>
      <c r="F7" s="559" t="n"/>
      <c r="G7" s="559" t="n"/>
      <c r="H7" s="559" t="n"/>
      <c r="I7" s="4" t="n"/>
      <c r="J7" s="4" t="n"/>
      <c r="K7" s="121" t="n"/>
      <c r="L7" s="122" t="n"/>
    </row>
    <row r="8">
      <c r="B8" s="563" t="n"/>
      <c r="C8" s="987" t="inlineStr">
        <is>
          <t>COEF. POR HORAS EXTRAS</t>
        </is>
      </c>
      <c r="D8" s="846" t="n"/>
      <c r="E8" s="846" t="n"/>
      <c r="F8" s="847" t="n"/>
      <c r="G8" s="564" t="n">
        <v>1.5</v>
      </c>
      <c r="H8" s="564" t="n">
        <v>2</v>
      </c>
      <c r="I8" s="4" t="n"/>
      <c r="J8" s="4" t="n"/>
      <c r="K8" s="121" t="n"/>
      <c r="L8" s="122" t="n"/>
    </row>
    <row r="9">
      <c r="B9" s="563" t="n"/>
      <c r="C9" s="559" t="n"/>
      <c r="D9" s="565" t="n">
        <v>0</v>
      </c>
      <c r="E9" s="565" t="n">
        <v>0</v>
      </c>
      <c r="F9" s="559" t="n"/>
      <c r="G9" s="559" t="n"/>
      <c r="H9" s="559" t="n"/>
      <c r="I9" s="4" t="n"/>
      <c r="J9" s="4" t="n"/>
      <c r="K9" s="121" t="n"/>
      <c r="L9" s="122" t="n"/>
    </row>
    <row r="10" ht="15.6" customHeight="1">
      <c r="B10" s="617" t="inlineStr">
        <is>
          <t>MANO DE OBRA</t>
        </is>
      </c>
      <c r="C10" s="846" t="n"/>
      <c r="D10" s="846" t="n"/>
      <c r="E10" s="846" t="n"/>
      <c r="F10" s="846" t="n"/>
      <c r="G10" s="846" t="n"/>
      <c r="H10" s="846" t="n"/>
      <c r="I10" s="846" t="n"/>
      <c r="J10" s="846" t="n"/>
      <c r="K10" s="846" t="n"/>
      <c r="L10" s="847" t="n"/>
    </row>
    <row r="11" ht="38.25" customHeight="1">
      <c r="B11" s="85" t="inlineStr">
        <is>
          <t>MANO DE OBRA DIRECTA (UOM + ASMRA)</t>
        </is>
      </c>
      <c r="C11" s="86" t="inlineStr">
        <is>
          <t>CANTIDAD HHN</t>
        </is>
      </c>
      <c r="D11" s="86" t="inlineStr">
        <is>
          <t>CANTIDAD HH 50%</t>
        </is>
      </c>
      <c r="E11" s="86" t="inlineStr">
        <is>
          <t>CANTIDAD HH 100%</t>
        </is>
      </c>
      <c r="F11" s="86" t="inlineStr">
        <is>
          <t>Costo Unit. HHN</t>
        </is>
      </c>
      <c r="G11" s="86" t="inlineStr">
        <is>
          <t>Costo Unit. HH 50%</t>
        </is>
      </c>
      <c r="H11" s="86" t="inlineStr">
        <is>
          <t>Costo Unit. HH 100%</t>
        </is>
      </c>
      <c r="I11" s="87" t="inlineStr">
        <is>
          <t>Costo Horas Normales</t>
        </is>
      </c>
      <c r="J11" s="87" t="inlineStr">
        <is>
          <t>Costo 
Horas 50%</t>
        </is>
      </c>
      <c r="K11" s="87" t="inlineStr">
        <is>
          <t>Costo 
Horas 100%</t>
        </is>
      </c>
      <c r="L11" s="87" t="inlineStr">
        <is>
          <t xml:space="preserve">Costo 
total </t>
        </is>
      </c>
    </row>
    <row r="12">
      <c r="B12" s="94" t="n"/>
      <c r="C12" s="212" t="n"/>
      <c r="D12" s="212" t="n"/>
      <c r="E12" s="212" t="n"/>
      <c r="F12" s="988" t="n"/>
      <c r="G12" s="123">
        <f>+F12*$G$8</f>
        <v/>
      </c>
      <c r="H12" s="123">
        <f>+F12*$H$8</f>
        <v/>
      </c>
      <c r="I12" s="989">
        <f>+C12*F12</f>
        <v/>
      </c>
      <c r="J12" s="989">
        <f>+D12*G12</f>
        <v/>
      </c>
      <c r="K12" s="989">
        <f>+E12*H12</f>
        <v/>
      </c>
      <c r="L12" s="989">
        <f>I12+J12+K12</f>
        <v/>
      </c>
    </row>
    <row r="13">
      <c r="B13" s="94" t="n"/>
      <c r="C13" s="212" t="n"/>
      <c r="D13" s="212" t="n"/>
      <c r="E13" s="212" t="n"/>
      <c r="F13" s="988" t="n"/>
      <c r="G13" s="123">
        <f>+F13*$G$8</f>
        <v/>
      </c>
      <c r="H13" s="123">
        <f>+F13*$H$8</f>
        <v/>
      </c>
      <c r="I13" s="989">
        <f>+C13*F13</f>
        <v/>
      </c>
      <c r="J13" s="989">
        <f>+D13*G13</f>
        <v/>
      </c>
      <c r="K13" s="989">
        <f>+E13*H13</f>
        <v/>
      </c>
      <c r="L13" s="989">
        <f>I13+J13+K13</f>
        <v/>
      </c>
    </row>
    <row r="14">
      <c r="B14" s="514" t="n"/>
      <c r="C14" s="566" t="n">
        <v>0</v>
      </c>
      <c r="D14" s="212">
        <f>+C14*$D$9</f>
        <v/>
      </c>
      <c r="E14" s="212">
        <f>+C14*$E$9</f>
        <v/>
      </c>
      <c r="F14" s="988">
        <f>+'COSTO UNIT.MO_UOM_CAT-GRAL'!P84</f>
        <v/>
      </c>
      <c r="G14" s="123">
        <f>+F14*$G$8</f>
        <v/>
      </c>
      <c r="H14" s="123">
        <f>+F14*$H$8</f>
        <v/>
      </c>
      <c r="I14" s="989">
        <f>+C14*F14</f>
        <v/>
      </c>
      <c r="J14" s="989">
        <f>+D14*G14</f>
        <v/>
      </c>
      <c r="K14" s="989">
        <f>+E14*H14</f>
        <v/>
      </c>
      <c r="L14" s="989">
        <f>I14+J14+K14</f>
        <v/>
      </c>
    </row>
    <row r="15">
      <c r="B15" s="94" t="n"/>
      <c r="C15" s="212" t="n">
        <v>0</v>
      </c>
      <c r="D15" s="212">
        <f>+C15*$D$9</f>
        <v/>
      </c>
      <c r="E15" s="212">
        <f>+C15*$E$9</f>
        <v/>
      </c>
      <c r="F15" s="988">
        <f>+'COSTO UNIT.MO_UOM_CAT-GRAL'!N84</f>
        <v/>
      </c>
      <c r="G15" s="123">
        <f>+F15*$G$8</f>
        <v/>
      </c>
      <c r="H15" s="123">
        <f>+F15*$H$8</f>
        <v/>
      </c>
      <c r="I15" s="989">
        <f>+C15*F15</f>
        <v/>
      </c>
      <c r="J15" s="989">
        <f>+D15*G15</f>
        <v/>
      </c>
      <c r="K15" s="989">
        <f>+E15*H15</f>
        <v/>
      </c>
      <c r="L15" s="989">
        <f>I15+J15+K15</f>
        <v/>
      </c>
    </row>
    <row r="16">
      <c r="B16" s="94" t="n"/>
      <c r="C16" s="212" t="n">
        <v>0</v>
      </c>
      <c r="D16" s="212">
        <f>+C16*$D$9</f>
        <v/>
      </c>
      <c r="E16" s="212">
        <f>+C16*$E$9</f>
        <v/>
      </c>
      <c r="F16" s="988">
        <f>+'COSTO UNIT.MO_UOM_CAT-GRAL'!L84</f>
        <v/>
      </c>
      <c r="G16" s="123">
        <f>+F16*$G$8</f>
        <v/>
      </c>
      <c r="H16" s="123">
        <f>+F16*$H$8</f>
        <v/>
      </c>
      <c r="I16" s="989">
        <f>+C16*F16</f>
        <v/>
      </c>
      <c r="J16" s="989">
        <f>+D16*G16</f>
        <v/>
      </c>
      <c r="K16" s="989">
        <f>+E16*H16</f>
        <v/>
      </c>
      <c r="L16" s="989">
        <f>I16+J16+K16</f>
        <v/>
      </c>
    </row>
    <row r="17">
      <c r="B17" s="610">
        <f>'COSTO UNIT.MO_UOM_CAT-GRAL'!I13</f>
        <v/>
      </c>
      <c r="C17" s="212" t="n">
        <v>0</v>
      </c>
      <c r="D17" s="212" t="n">
        <v>0</v>
      </c>
      <c r="E17" s="212">
        <f>+C17*$E$9</f>
        <v/>
      </c>
      <c r="F17" s="988">
        <f>+'COSTO UNIT.MO_UOM_CAT-GRAL'!J84</f>
        <v/>
      </c>
      <c r="G17" s="123">
        <f>+F17*$G$8</f>
        <v/>
      </c>
      <c r="H17" s="123">
        <f>+F17*$H$8</f>
        <v/>
      </c>
      <c r="I17" s="989">
        <f>+C17*F17</f>
        <v/>
      </c>
      <c r="J17" s="989">
        <f>+D17*G17</f>
        <v/>
      </c>
      <c r="K17" s="989">
        <f>+E17*H17</f>
        <v/>
      </c>
      <c r="L17" s="989">
        <f>I17+J17+K17</f>
        <v/>
      </c>
    </row>
    <row r="18">
      <c r="B18" s="610">
        <f>'COSTO UNIT.MO_UOM_CAT-GRAL'!G13</f>
        <v/>
      </c>
      <c r="C18" s="212" t="n">
        <v>0</v>
      </c>
      <c r="D18" s="212" t="n">
        <v>0</v>
      </c>
      <c r="E18" s="212">
        <f>+C18*$E$9</f>
        <v/>
      </c>
      <c r="F18" s="988">
        <f>+'COSTO UNIT.MO_UOM_CAT-GRAL'!H84</f>
        <v/>
      </c>
      <c r="G18" s="123">
        <f>+F18*$G$8</f>
        <v/>
      </c>
      <c r="H18" s="123">
        <f>+F18*$H$8</f>
        <v/>
      </c>
      <c r="I18" s="989">
        <f>+C18*F18</f>
        <v/>
      </c>
      <c r="J18" s="989">
        <f>+D18*G18</f>
        <v/>
      </c>
      <c r="K18" s="989">
        <f>+E18*H18</f>
        <v/>
      </c>
      <c r="L18" s="989">
        <f>I18+J18+K18</f>
        <v/>
      </c>
    </row>
    <row r="19">
      <c r="B19" s="514">
        <f>'COSTO UNIT.MO_UOM_CAT-GRAL'!E13</f>
        <v/>
      </c>
      <c r="C19" s="212" t="n">
        <v>0</v>
      </c>
      <c r="D19" s="212">
        <f>+C19*$D$9</f>
        <v/>
      </c>
      <c r="E19" s="212">
        <f>+C19*$E$9</f>
        <v/>
      </c>
      <c r="F19" s="988">
        <f>+'COSTO UNIT.MO_UOM_CAT-GRAL'!F84</f>
        <v/>
      </c>
      <c r="G19" s="123">
        <f>+F19*$G$8</f>
        <v/>
      </c>
      <c r="H19" s="123">
        <f>+F19*$H$8</f>
        <v/>
      </c>
      <c r="I19" s="989">
        <f>+C19*F19</f>
        <v/>
      </c>
      <c r="J19" s="989">
        <f>+D19*G19</f>
        <v/>
      </c>
      <c r="K19" s="989">
        <f>+E19*H19</f>
        <v/>
      </c>
      <c r="L19" s="989">
        <f>I19+J19+K19</f>
        <v/>
      </c>
    </row>
    <row r="20">
      <c r="B20" s="343" t="n"/>
      <c r="C20" s="215" t="n">
        <v>0</v>
      </c>
      <c r="D20" s="212" t="n"/>
      <c r="E20" s="212" t="n"/>
      <c r="F20" s="988" t="n"/>
      <c r="G20" s="123">
        <f>+F20*$G$8</f>
        <v/>
      </c>
      <c r="H20" s="123">
        <f>+F20*$H$8</f>
        <v/>
      </c>
      <c r="I20" s="989">
        <f>+C20*F20</f>
        <v/>
      </c>
      <c r="J20" s="989">
        <f>+D20*G20</f>
        <v/>
      </c>
      <c r="K20" s="989">
        <f>+E20*H20</f>
        <v/>
      </c>
      <c r="L20" s="989">
        <f>I20+J20+K20</f>
        <v/>
      </c>
    </row>
    <row r="21">
      <c r="B21" s="94" t="n"/>
      <c r="C21" s="212" t="n">
        <v>0</v>
      </c>
      <c r="D21" s="212" t="n"/>
      <c r="E21" s="212" t="n"/>
      <c r="F21" s="988" t="n"/>
      <c r="G21" s="123">
        <f>+F21*$G$8</f>
        <v/>
      </c>
      <c r="H21" s="123">
        <f>+F21*$H$8</f>
        <v/>
      </c>
      <c r="I21" s="989">
        <f>+C21*F21</f>
        <v/>
      </c>
      <c r="J21" s="989">
        <f>+D21*G21</f>
        <v/>
      </c>
      <c r="K21" s="989">
        <f>+E21*H21</f>
        <v/>
      </c>
      <c r="L21" s="989">
        <f>I21+J21+K21</f>
        <v/>
      </c>
    </row>
    <row r="22">
      <c r="B22" s="94" t="n"/>
      <c r="C22" s="212" t="n">
        <v>0</v>
      </c>
      <c r="D22" s="212" t="n"/>
      <c r="E22" s="212" t="n"/>
      <c r="F22" s="988" t="n"/>
      <c r="G22" s="123">
        <f>+F22*$G$8</f>
        <v/>
      </c>
      <c r="H22" s="123">
        <f>+F22*$H$8</f>
        <v/>
      </c>
      <c r="I22" s="989">
        <f>+C22*F22</f>
        <v/>
      </c>
      <c r="J22" s="989">
        <f>+D22*G22</f>
        <v/>
      </c>
      <c r="K22" s="989">
        <f>+E22*H22</f>
        <v/>
      </c>
      <c r="L22" s="989">
        <f>I22+J22+K22</f>
        <v/>
      </c>
    </row>
    <row r="23" ht="13.8" customHeight="1" thickBot="1">
      <c r="B23" s="94" t="n"/>
      <c r="C23" s="214" t="n">
        <v>0</v>
      </c>
      <c r="D23" s="212" t="n"/>
      <c r="E23" s="212" t="n"/>
      <c r="F23" s="988" t="n"/>
      <c r="G23" s="123" t="n"/>
      <c r="H23" s="123" t="n"/>
      <c r="I23" s="989">
        <f>+C23*F23</f>
        <v/>
      </c>
      <c r="J23" s="989">
        <f>+D23*G23</f>
        <v/>
      </c>
      <c r="K23" s="989">
        <f>+E23*H23</f>
        <v/>
      </c>
      <c r="L23" s="989">
        <f>I23+J23+K23</f>
        <v/>
      </c>
    </row>
    <row r="24" ht="13.8" customHeight="1" thickBot="1">
      <c r="B24" s="112" t="inlineStr">
        <is>
          <t>TOTAL ($) MANO DE OBRA DIRECTA</t>
        </is>
      </c>
      <c r="C24" s="114">
        <f>+SUM(C12:C23)</f>
        <v/>
      </c>
      <c r="D24" s="114">
        <f>+SUM(D12:D23)</f>
        <v/>
      </c>
      <c r="E24" s="114">
        <f>+SUM(E12:E23)</f>
        <v/>
      </c>
      <c r="F24" s="102" t="n"/>
      <c r="G24" s="102" t="n"/>
      <c r="H24" s="102" t="n"/>
      <c r="I24" s="990">
        <f>SUM(I12:I23)</f>
        <v/>
      </c>
      <c r="J24" s="990">
        <f>SUM(J12:J23)</f>
        <v/>
      </c>
      <c r="K24" s="990">
        <f>SUM(K12:K23)</f>
        <v/>
      </c>
      <c r="L24" s="990">
        <f>SUM(L12:L23)</f>
        <v/>
      </c>
      <c r="M24" s="166">
        <f>+I24/C24</f>
        <v/>
      </c>
      <c r="P24">
        <f>C24/187</f>
        <v/>
      </c>
    </row>
    <row r="25" ht="38.25" customHeight="1">
      <c r="B25" s="85" t="inlineStr">
        <is>
          <t>MANO DE OBRA INDIRECTA</t>
        </is>
      </c>
      <c r="C25" s="113" t="inlineStr">
        <is>
          <t xml:space="preserve">Cantidad Horas Normal </t>
        </is>
      </c>
      <c r="D25" s="86" t="inlineStr">
        <is>
          <t xml:space="preserve">Cantidad Horas 50% </t>
        </is>
      </c>
      <c r="E25" s="86" t="inlineStr">
        <is>
          <t xml:space="preserve">Cantidad Horas 100% </t>
        </is>
      </c>
      <c r="F25" s="86" t="inlineStr">
        <is>
          <t>Costo Unit. HHN</t>
        </is>
      </c>
      <c r="G25" s="86" t="inlineStr">
        <is>
          <t>Costo Unit. HH 50%</t>
        </is>
      </c>
      <c r="H25" s="86" t="inlineStr">
        <is>
          <t>Costo Unit. HH 100%</t>
        </is>
      </c>
      <c r="I25" s="87" t="inlineStr">
        <is>
          <t>Costo Horas Normales</t>
        </is>
      </c>
      <c r="J25" s="87" t="inlineStr">
        <is>
          <t>Costo Horas 50%</t>
        </is>
      </c>
      <c r="K25" s="87" t="inlineStr">
        <is>
          <t>Costo Horas 100%</t>
        </is>
      </c>
      <c r="L25" s="87" t="inlineStr">
        <is>
          <t xml:space="preserve">Costo total </t>
        </is>
      </c>
    </row>
    <row r="26">
      <c r="B26" s="343">
        <f>+'COSTO MO FC'!B8</f>
        <v/>
      </c>
      <c r="C26" s="215" t="n">
        <v>0</v>
      </c>
      <c r="D26" s="212">
        <f>+C26*0%</f>
        <v/>
      </c>
      <c r="E26" s="212">
        <f>+C26*0%</f>
        <v/>
      </c>
      <c r="F26" s="988">
        <f>+'COSTO MO FC'!AJ8</f>
        <v/>
      </c>
      <c r="G26" s="123">
        <f>+F26*$G$8</f>
        <v/>
      </c>
      <c r="H26" s="123">
        <f>+F26*$H$8</f>
        <v/>
      </c>
      <c r="I26" s="989">
        <f>+C26*F26</f>
        <v/>
      </c>
      <c r="J26" s="989">
        <f>+D26*G26</f>
        <v/>
      </c>
      <c r="K26" s="989">
        <f>+E26*H26</f>
        <v/>
      </c>
      <c r="L26" s="989">
        <f>I26+J26+K26</f>
        <v/>
      </c>
      <c r="M26" s="88" t="n"/>
    </row>
    <row r="27">
      <c r="B27" s="343">
        <f>+'COSTO MO FC'!B9</f>
        <v/>
      </c>
      <c r="C27" s="215" t="n">
        <v>0</v>
      </c>
      <c r="D27" s="212">
        <f>+C27*0%</f>
        <v/>
      </c>
      <c r="E27" s="212">
        <f>+C27*0%</f>
        <v/>
      </c>
      <c r="F27" s="988">
        <f>+'COSTO MO FC'!AJ9</f>
        <v/>
      </c>
      <c r="G27" s="123">
        <f>+F27*$G$8</f>
        <v/>
      </c>
      <c r="H27" s="123">
        <f>+F27*$H$8</f>
        <v/>
      </c>
      <c r="I27" s="989">
        <f>+C27*F27</f>
        <v/>
      </c>
      <c r="J27" s="989">
        <f>+D27*G27</f>
        <v/>
      </c>
      <c r="K27" s="989">
        <f>+E27*H27</f>
        <v/>
      </c>
      <c r="L27" s="989">
        <f>I27+J27+K27</f>
        <v/>
      </c>
      <c r="M27" s="88" t="n"/>
      <c r="N27" s="439" t="n"/>
    </row>
    <row r="28">
      <c r="B28" s="343">
        <f>+'COSTO MO FC'!B10</f>
        <v/>
      </c>
      <c r="C28" s="215" t="n">
        <v>0</v>
      </c>
      <c r="D28" s="212">
        <f>+C28*0%</f>
        <v/>
      </c>
      <c r="E28" s="212">
        <f>+C28*0%</f>
        <v/>
      </c>
      <c r="F28" s="988">
        <f>+'COSTO MO FC'!AJ10</f>
        <v/>
      </c>
      <c r="G28" s="123">
        <f>+F28*$G$8</f>
        <v/>
      </c>
      <c r="H28" s="123">
        <f>+F28*$H$8</f>
        <v/>
      </c>
      <c r="I28" s="989">
        <f>+C28*F28</f>
        <v/>
      </c>
      <c r="J28" s="989">
        <f>+D28*G28</f>
        <v/>
      </c>
      <c r="K28" s="989">
        <f>+E28*H28</f>
        <v/>
      </c>
      <c r="L28" s="989">
        <f>I28+J28+K28</f>
        <v/>
      </c>
    </row>
    <row r="29">
      <c r="B29" s="343">
        <f>+'COSTO MO FC'!B11</f>
        <v/>
      </c>
      <c r="C29" s="215" t="n">
        <v>0</v>
      </c>
      <c r="D29" s="212">
        <f>+C29*0%</f>
        <v/>
      </c>
      <c r="E29" s="212">
        <f>+C29*0%</f>
        <v/>
      </c>
      <c r="F29" s="988">
        <f>+'COSTO MO FC'!AJ11</f>
        <v/>
      </c>
      <c r="G29" s="123">
        <f>+F29*$G$8</f>
        <v/>
      </c>
      <c r="H29" s="123">
        <f>+F29*$H$8</f>
        <v/>
      </c>
      <c r="I29" s="989">
        <f>+C29*F29</f>
        <v/>
      </c>
      <c r="J29" s="989">
        <f>+D29*G29</f>
        <v/>
      </c>
      <c r="K29" s="989">
        <f>+E29*H29</f>
        <v/>
      </c>
      <c r="L29" s="989">
        <f>I29+J29+K29</f>
        <v/>
      </c>
    </row>
    <row r="30">
      <c r="B30" s="343">
        <f>+'COSTO MO FC'!B12</f>
        <v/>
      </c>
      <c r="C30" s="215" t="n">
        <v>0</v>
      </c>
      <c r="D30" s="212">
        <f>+C30*0%</f>
        <v/>
      </c>
      <c r="E30" s="212">
        <f>+C30*0%</f>
        <v/>
      </c>
      <c r="F30" s="988">
        <f>+'COSTO MO FC'!AJ12</f>
        <v/>
      </c>
      <c r="G30" s="123">
        <f>+F30*$G$8</f>
        <v/>
      </c>
      <c r="H30" s="123">
        <f>+F30*$H$8</f>
        <v/>
      </c>
      <c r="I30" s="989">
        <f>+C30*F30</f>
        <v/>
      </c>
      <c r="J30" s="989">
        <f>+D30*G30</f>
        <v/>
      </c>
      <c r="K30" s="989">
        <f>+E30*H30</f>
        <v/>
      </c>
      <c r="L30" s="989">
        <f>I30+J30+K30</f>
        <v/>
      </c>
      <c r="N30" s="823">
        <f>L30/L36</f>
        <v/>
      </c>
    </row>
    <row r="31">
      <c r="B31" s="343">
        <f>+'COSTO MO FC'!B13</f>
        <v/>
      </c>
      <c r="C31" s="215" t="n">
        <v>0</v>
      </c>
      <c r="D31" s="212">
        <f>+C31*0%</f>
        <v/>
      </c>
      <c r="E31" s="212">
        <f>+C31*0%</f>
        <v/>
      </c>
      <c r="F31" s="988">
        <f>+'COSTO MO FC'!AJ13</f>
        <v/>
      </c>
      <c r="G31" s="123">
        <f>+F31*$G$8</f>
        <v/>
      </c>
      <c r="H31" s="123">
        <f>+F31*$H$8</f>
        <v/>
      </c>
      <c r="I31" s="989">
        <f>+C31*F31</f>
        <v/>
      </c>
      <c r="J31" s="989">
        <f>+D31*G31</f>
        <v/>
      </c>
      <c r="K31" s="989">
        <f>+E31*H31</f>
        <v/>
      </c>
      <c r="L31" s="989">
        <f>I31+J31+K31</f>
        <v/>
      </c>
    </row>
    <row r="32">
      <c r="B32" s="343">
        <f>+'COSTO MO FC'!B14</f>
        <v/>
      </c>
      <c r="C32" s="215" t="n">
        <v>0</v>
      </c>
      <c r="D32" s="212">
        <f>+C32*0%</f>
        <v/>
      </c>
      <c r="E32" s="212">
        <f>+C32*0%</f>
        <v/>
      </c>
      <c r="F32" s="988">
        <f>+'COSTO MO FC'!AJ14</f>
        <v/>
      </c>
      <c r="G32" s="123">
        <f>+F32*$G$8</f>
        <v/>
      </c>
      <c r="H32" s="123">
        <f>+F32*$H$8</f>
        <v/>
      </c>
      <c r="I32" s="989">
        <f>+C32*F32</f>
        <v/>
      </c>
      <c r="J32" s="989">
        <f>+D32*G32</f>
        <v/>
      </c>
      <c r="K32" s="989">
        <f>+E32*H32</f>
        <v/>
      </c>
      <c r="L32" s="989">
        <f>I32+J32+K32</f>
        <v/>
      </c>
    </row>
    <row r="33">
      <c r="B33" s="343">
        <f>+'COSTO MO FC'!B15</f>
        <v/>
      </c>
      <c r="C33" s="215" t="n">
        <v>0</v>
      </c>
      <c r="D33" s="212">
        <f>+C33*0%</f>
        <v/>
      </c>
      <c r="E33" s="212">
        <f>+C33*0%</f>
        <v/>
      </c>
      <c r="F33" s="988">
        <f>+'COSTO MO FC'!AJ15</f>
        <v/>
      </c>
      <c r="G33" s="123">
        <f>+F33*$G$8</f>
        <v/>
      </c>
      <c r="H33" s="123">
        <f>+F33*$H$8</f>
        <v/>
      </c>
      <c r="I33" s="989">
        <f>+C33*F33</f>
        <v/>
      </c>
      <c r="J33" s="989" t="n"/>
      <c r="K33" s="989" t="n"/>
      <c r="L33" s="989">
        <f>I33+J33+K33</f>
        <v/>
      </c>
    </row>
    <row r="34">
      <c r="B34" s="343" t="n"/>
      <c r="C34" s="215" t="n">
        <v>0</v>
      </c>
      <c r="D34" s="212" t="n"/>
      <c r="E34" s="212" t="n"/>
      <c r="F34" s="988" t="n"/>
      <c r="G34" s="123">
        <f>+F34*$G$8</f>
        <v/>
      </c>
      <c r="H34" s="123">
        <f>+F34*$H$8</f>
        <v/>
      </c>
      <c r="I34" s="989">
        <f>+C34*F34</f>
        <v/>
      </c>
      <c r="J34" s="989" t="n"/>
      <c r="K34" s="989" t="n"/>
      <c r="L34" s="989">
        <f>I34+J34+K34</f>
        <v/>
      </c>
    </row>
    <row r="35" ht="13.8" customHeight="1" thickBot="1">
      <c r="B35" s="343" t="n"/>
      <c r="C35" s="215" t="n">
        <v>0</v>
      </c>
      <c r="D35" s="212" t="n"/>
      <c r="E35" s="212" t="n"/>
      <c r="F35" s="988" t="n"/>
      <c r="G35" s="123">
        <f>+F35*$G$8</f>
        <v/>
      </c>
      <c r="H35" s="123">
        <f>+F35*$H$8</f>
        <v/>
      </c>
      <c r="I35" s="989">
        <f>+C35*F35</f>
        <v/>
      </c>
      <c r="J35" s="989">
        <f>+D35*G35</f>
        <v/>
      </c>
      <c r="K35" s="989">
        <f>+E35*H35</f>
        <v/>
      </c>
      <c r="L35" s="989">
        <f>I35+J35+K35</f>
        <v/>
      </c>
    </row>
    <row r="36" ht="13.8" customHeight="1" thickBot="1">
      <c r="B36" s="112" t="inlineStr">
        <is>
          <t>TOTAL ($) MANO DE OBRA INDIRECTA</t>
        </is>
      </c>
      <c r="C36" s="114">
        <f>+SUM(C26:C35)</f>
        <v/>
      </c>
      <c r="D36" s="114">
        <f>+SUM(D26:D35)</f>
        <v/>
      </c>
      <c r="E36" s="114">
        <f>+SUM(E26:E35)</f>
        <v/>
      </c>
      <c r="F36" s="102" t="n"/>
      <c r="G36" s="102" t="n"/>
      <c r="H36" s="102" t="n"/>
      <c r="I36" s="990">
        <f>SUM(I26:I35)</f>
        <v/>
      </c>
      <c r="J36" s="990">
        <f>SUM(J26:J35)</f>
        <v/>
      </c>
      <c r="K36" s="990">
        <f>SUM(K26:K35)</f>
        <v/>
      </c>
      <c r="L36" s="990">
        <f>SUM(L26:L35)</f>
        <v/>
      </c>
    </row>
    <row r="37" ht="38.25" customHeight="1">
      <c r="B37" s="85" t="inlineStr">
        <is>
          <t>MANO DE OBRA EVENTUAL</t>
        </is>
      </c>
      <c r="C37" s="86" t="inlineStr">
        <is>
          <t xml:space="preserve">Cantidad Horas Normal </t>
        </is>
      </c>
      <c r="D37" s="86" t="inlineStr">
        <is>
          <t xml:space="preserve">Cantidad Horas 50% </t>
        </is>
      </c>
      <c r="E37" s="86" t="inlineStr">
        <is>
          <t xml:space="preserve">Cantidad Horas 100% </t>
        </is>
      </c>
      <c r="F37" s="86" t="inlineStr">
        <is>
          <t>Costo Unit. HHN</t>
        </is>
      </c>
      <c r="G37" s="86" t="inlineStr">
        <is>
          <t>Costo Unit. HH 50%</t>
        </is>
      </c>
      <c r="H37" s="86" t="inlineStr">
        <is>
          <t>Costo Unit. HH 100%</t>
        </is>
      </c>
      <c r="I37" s="87" t="inlineStr">
        <is>
          <t>Costo Horas Normales</t>
        </is>
      </c>
      <c r="J37" s="87" t="inlineStr">
        <is>
          <t>Costo Horas 50%</t>
        </is>
      </c>
      <c r="K37" s="87" t="inlineStr">
        <is>
          <t>Costo Horas 100%</t>
        </is>
      </c>
      <c r="L37" s="87" t="inlineStr">
        <is>
          <t xml:space="preserve">Costo total </t>
        </is>
      </c>
    </row>
    <row r="38">
      <c r="B38" s="94" t="n"/>
      <c r="C38" s="215" t="n">
        <v>0</v>
      </c>
      <c r="D38" s="215" t="n"/>
      <c r="E38" s="215" t="n"/>
      <c r="F38" s="988" t="n"/>
      <c r="G38" s="123">
        <f>+F38*$G$8</f>
        <v/>
      </c>
      <c r="H38" s="123">
        <f>+F38*$H$8</f>
        <v/>
      </c>
      <c r="I38" s="989">
        <f>+C38*F38</f>
        <v/>
      </c>
      <c r="J38" s="989">
        <f>+D38*G38</f>
        <v/>
      </c>
      <c r="K38" s="989">
        <f>+E38*H38</f>
        <v/>
      </c>
      <c r="L38" s="989">
        <f>I38+J38+K38</f>
        <v/>
      </c>
    </row>
    <row r="39">
      <c r="B39" s="94" t="n"/>
      <c r="C39" s="215" t="n">
        <v>0</v>
      </c>
      <c r="D39" s="215" t="n"/>
      <c r="E39" s="215" t="n"/>
      <c r="F39" s="988" t="n"/>
      <c r="G39" s="123">
        <f>+F39*$G$8</f>
        <v/>
      </c>
      <c r="H39" s="123">
        <f>+F39*$H$8</f>
        <v/>
      </c>
      <c r="I39" s="989">
        <f>+C39*F39</f>
        <v/>
      </c>
      <c r="J39" s="989">
        <f>+D39*G39</f>
        <v/>
      </c>
      <c r="K39" s="989">
        <f>+E39*H39</f>
        <v/>
      </c>
      <c r="L39" s="989">
        <f>I39+J39+K39</f>
        <v/>
      </c>
    </row>
    <row r="40">
      <c r="B40" s="94" t="n"/>
      <c r="C40" s="215" t="n">
        <v>0</v>
      </c>
      <c r="D40" s="215" t="n"/>
      <c r="E40" s="215" t="n"/>
      <c r="F40" s="988" t="n"/>
      <c r="G40" s="123">
        <f>+F40*$G$8</f>
        <v/>
      </c>
      <c r="H40" s="123">
        <f>+F40*$H$8</f>
        <v/>
      </c>
      <c r="I40" s="989">
        <f>+C40*F40</f>
        <v/>
      </c>
      <c r="J40" s="989">
        <f>+D40*G40</f>
        <v/>
      </c>
      <c r="K40" s="989">
        <f>+E40*H40</f>
        <v/>
      </c>
      <c r="L40" s="989">
        <f>I40+J40+K40</f>
        <v/>
      </c>
    </row>
    <row r="41" ht="13.8" customHeight="1" thickBot="1">
      <c r="B41" s="94" t="n"/>
      <c r="C41" s="215" t="n">
        <v>0</v>
      </c>
      <c r="D41" s="215" t="n"/>
      <c r="E41" s="215" t="n"/>
      <c r="F41" s="988" t="n"/>
      <c r="G41" s="123">
        <f>+F41*$G$8</f>
        <v/>
      </c>
      <c r="H41" s="123">
        <f>+F41*$H$8</f>
        <v/>
      </c>
      <c r="I41" s="989">
        <f>+C41*F41</f>
        <v/>
      </c>
      <c r="J41" s="989">
        <f>+D41*G41</f>
        <v/>
      </c>
      <c r="K41" s="989">
        <f>+E41*H41</f>
        <v/>
      </c>
      <c r="L41" s="989">
        <f>I41+J41+K41</f>
        <v/>
      </c>
    </row>
    <row r="42" ht="16.2" customHeight="1" thickBot="1">
      <c r="B42" s="115" t="inlineStr">
        <is>
          <t>TOTAL ($) MANO DE OBRA EVENTUAL</t>
        </is>
      </c>
      <c r="C42" s="114">
        <f>+SUM(C38:C41)</f>
        <v/>
      </c>
      <c r="D42" s="114">
        <f>+SUM(D38:D41)</f>
        <v/>
      </c>
      <c r="E42" s="114">
        <f>+SUM(E38:E41)</f>
        <v/>
      </c>
      <c r="F42" s="102" t="n"/>
      <c r="G42" s="102" t="n"/>
      <c r="H42" s="102" t="n"/>
      <c r="I42" s="991">
        <f>SUM(I38:I41)</f>
        <v/>
      </c>
      <c r="J42" s="991">
        <f>SUM(J38:J41)</f>
        <v/>
      </c>
      <c r="K42" s="991">
        <f>SUM(K38:K41)</f>
        <v/>
      </c>
      <c r="L42" s="991">
        <f>SUM(L38:L41)</f>
        <v/>
      </c>
    </row>
    <row r="43" ht="15.6" customHeight="1">
      <c r="B43" s="89" t="inlineStr">
        <is>
          <t>TOTAL ($) MANO DE OBRA</t>
        </is>
      </c>
      <c r="C43" s="104" t="n"/>
      <c r="D43" s="104" t="n"/>
      <c r="E43" s="104" t="n"/>
      <c r="F43" s="104" t="n"/>
      <c r="G43" s="104" t="n"/>
      <c r="H43" s="104" t="n"/>
      <c r="I43" s="992">
        <f>I36+I24+I42</f>
        <v/>
      </c>
      <c r="J43" s="992">
        <f>J36+J24+J42</f>
        <v/>
      </c>
      <c r="K43" s="992">
        <f>K36+K24+K42</f>
        <v/>
      </c>
      <c r="L43" s="992">
        <f>L36+L24+L42</f>
        <v/>
      </c>
      <c r="N43" s="777" t="n"/>
    </row>
    <row r="44" ht="15.6" customHeight="1">
      <c r="B44" s="356" t="inlineStr">
        <is>
          <t>CANTIDAD DE HH NORMALES TOTALES</t>
        </is>
      </c>
      <c r="C44" s="846" t="n"/>
      <c r="D44" s="846" t="n"/>
      <c r="E44" s="846" t="n"/>
      <c r="F44" s="846" t="n"/>
      <c r="G44" s="846" t="n"/>
      <c r="H44" s="846" t="n"/>
      <c r="I44" s="846" t="n"/>
      <c r="J44" s="846" t="n"/>
      <c r="K44" s="847" t="n"/>
      <c r="L44" s="313">
        <f>+C24+C36+C42</f>
        <v/>
      </c>
      <c r="M44" s="167" t="n"/>
      <c r="N44" s="777" t="n"/>
    </row>
    <row r="45" ht="15.6" customHeight="1">
      <c r="B45" s="356" t="inlineStr">
        <is>
          <t>CANTIDAD DE HOMBRE</t>
        </is>
      </c>
      <c r="C45" s="846" t="n"/>
      <c r="D45" s="846" t="n"/>
      <c r="E45" s="846" t="n"/>
      <c r="F45" s="846" t="n"/>
      <c r="G45" s="846" t="n"/>
      <c r="H45" s="846" t="n"/>
      <c r="I45" s="846" t="n"/>
      <c r="J45" s="846" t="n"/>
      <c r="K45" s="847" t="n"/>
      <c r="L45" s="459">
        <f>+L44/187</f>
        <v/>
      </c>
      <c r="M45" s="167" t="n"/>
      <c r="N45" s="777" t="n"/>
    </row>
    <row r="46" ht="11.25" customHeight="1">
      <c r="B46" s="90" t="n"/>
      <c r="C46" s="90" t="n"/>
      <c r="D46" s="90" t="n"/>
      <c r="E46" s="90" t="n"/>
      <c r="F46" s="90" t="n"/>
      <c r="G46" s="90" t="n"/>
      <c r="H46" s="90" t="n"/>
      <c r="I46" s="91" t="n"/>
      <c r="J46" s="91" t="n"/>
      <c r="K46" s="91" t="n"/>
      <c r="L46" s="91" t="n"/>
      <c r="N46" s="777" t="n"/>
    </row>
    <row r="47" ht="15.6" customHeight="1">
      <c r="B47" s="617" t="inlineStr">
        <is>
          <t>VIATICOS</t>
        </is>
      </c>
      <c r="C47" s="846" t="n"/>
      <c r="D47" s="846" t="n"/>
      <c r="E47" s="847" t="n"/>
      <c r="F47" s="111" t="n"/>
      <c r="G47" s="111" t="n"/>
      <c r="H47" s="111" t="n"/>
      <c r="I47" s="92" t="n"/>
      <c r="J47" s="92" t="n"/>
      <c r="K47" s="92" t="n"/>
      <c r="L47" s="92" t="n"/>
    </row>
    <row r="48" ht="26.4" customHeight="1">
      <c r="B48" s="85" t="inlineStr">
        <is>
          <t>REFIRGERIOS</t>
        </is>
      </c>
      <c r="C48" s="87" t="inlineStr">
        <is>
          <t>Precio Unitario ($)</t>
        </is>
      </c>
      <c r="D48" s="86" t="inlineStr">
        <is>
          <t>Cantidad por item</t>
        </is>
      </c>
      <c r="E48" s="87" t="inlineStr">
        <is>
          <t>Total / Item ($)</t>
        </is>
      </c>
      <c r="F48" s="93" t="n"/>
      <c r="G48" s="93" t="n"/>
      <c r="H48" s="93" t="n"/>
      <c r="I48" s="93" t="n"/>
      <c r="J48" s="93" t="n"/>
      <c r="K48" s="93" t="n"/>
      <c r="L48" s="93" t="n"/>
    </row>
    <row r="49">
      <c r="B49" s="1" t="inlineStr">
        <is>
          <t>Comida en planta - ALMUERZO</t>
        </is>
      </c>
      <c r="C49" s="988" t="n"/>
      <c r="D49" s="311" t="n"/>
      <c r="E49" s="989">
        <f>C49*D49</f>
        <v/>
      </c>
      <c r="F49" s="370" t="n"/>
      <c r="G49" s="861" t="n"/>
      <c r="H49" s="861" t="n"/>
    </row>
    <row r="50">
      <c r="B50" s="1" t="inlineStr">
        <is>
          <t>Comida en planta - REFRIGERIO</t>
        </is>
      </c>
      <c r="C50" s="988" t="n"/>
      <c r="D50" s="311" t="n"/>
      <c r="E50" s="989">
        <f>C50*D50</f>
        <v/>
      </c>
      <c r="F50" s="370" t="n"/>
      <c r="G50" s="861" t="n"/>
      <c r="H50" s="861" t="n"/>
    </row>
    <row r="51">
      <c r="B51" s="1" t="inlineStr">
        <is>
          <t>Cena fuera de planta</t>
        </is>
      </c>
      <c r="C51" s="988" t="n"/>
      <c r="D51" s="216" t="n"/>
      <c r="E51" s="989">
        <f>C51*D51</f>
        <v/>
      </c>
      <c r="F51" s="861" t="n"/>
      <c r="G51" s="861" t="n"/>
      <c r="H51" s="861" t="n"/>
    </row>
    <row r="52">
      <c r="B52" s="1" t="inlineStr">
        <is>
          <t>Propina</t>
        </is>
      </c>
      <c r="C52" s="988" t="n"/>
      <c r="D52" s="217" t="n"/>
      <c r="E52" s="989">
        <f>C52*D52</f>
        <v/>
      </c>
      <c r="F52" s="861" t="n"/>
      <c r="G52" s="861" t="n"/>
      <c r="H52" s="861" t="n"/>
    </row>
    <row r="53" ht="15.6" customHeight="1">
      <c r="B53" s="993" t="inlineStr">
        <is>
          <t>TOTAL REFRIGERIOS ($)</t>
        </is>
      </c>
      <c r="C53" s="846" t="n"/>
      <c r="D53" s="847" t="n"/>
      <c r="E53" s="991">
        <f>SUM(E49:E52)</f>
        <v/>
      </c>
      <c r="F53" s="994" t="n"/>
      <c r="G53" s="994" t="n"/>
      <c r="H53" s="994" t="n"/>
      <c r="I53" s="92" t="n"/>
      <c r="J53" s="92" t="n"/>
      <c r="K53" s="92" t="n"/>
      <c r="L53" s="92" t="n"/>
    </row>
    <row r="54" ht="26.4" customHeight="1">
      <c r="B54" s="85" t="inlineStr">
        <is>
          <t>ALOJAMIENTO</t>
        </is>
      </c>
      <c r="C54" s="86" t="inlineStr">
        <is>
          <t>Precio Unitario ($)</t>
        </is>
      </c>
      <c r="D54" s="86" t="inlineStr">
        <is>
          <t>Cantidad por item</t>
        </is>
      </c>
      <c r="E54" s="87" t="inlineStr">
        <is>
          <t>Total / Item ($)</t>
        </is>
      </c>
      <c r="F54" s="93" t="n"/>
      <c r="G54" s="93" t="n"/>
      <c r="H54" s="93" t="n"/>
      <c r="I54" s="93" t="n"/>
      <c r="J54" s="93" t="n"/>
      <c r="K54" s="624" t="n"/>
      <c r="M54" s="823" t="n"/>
    </row>
    <row r="55">
      <c r="B55" s="1" t="inlineStr">
        <is>
          <t>Hotel</t>
        </is>
      </c>
      <c r="C55" s="988" t="n"/>
      <c r="D55" s="216" t="n"/>
      <c r="E55" s="989">
        <f>C55*D55</f>
        <v/>
      </c>
      <c r="F55" s="861" t="n"/>
      <c r="G55" s="861" t="n"/>
      <c r="H55" s="861" t="n"/>
      <c r="M55" s="823" t="n"/>
    </row>
    <row r="56" ht="15.6" customHeight="1">
      <c r="B56" s="1" t="inlineStr">
        <is>
          <t>Telefono</t>
        </is>
      </c>
      <c r="C56" s="988" t="n"/>
      <c r="D56" s="217" t="n"/>
      <c r="E56" s="989">
        <f>C56*D56</f>
        <v/>
      </c>
      <c r="F56" s="861" t="n"/>
      <c r="G56" s="861" t="n"/>
      <c r="H56" s="861" t="n"/>
      <c r="K56" s="567" t="n"/>
      <c r="L56" s="371" t="n"/>
      <c r="M56" s="823" t="n"/>
    </row>
    <row r="57" ht="15.6" customHeight="1">
      <c r="B57" s="1" t="inlineStr">
        <is>
          <t>Lava ropa</t>
        </is>
      </c>
      <c r="C57" s="988" t="n"/>
      <c r="D57" s="217" t="n"/>
      <c r="E57" s="989">
        <f>C57*D57</f>
        <v/>
      </c>
      <c r="F57" s="861" t="n"/>
      <c r="G57" s="861" t="n"/>
      <c r="H57" s="861" t="n"/>
      <c r="K57" s="567" t="n"/>
      <c r="L57" s="371" t="n"/>
      <c r="M57" s="823" t="n"/>
    </row>
    <row r="58" ht="15.6" customHeight="1">
      <c r="B58" s="993" t="inlineStr">
        <is>
          <t>TOTAL ALOJAMIENTOS ($)</t>
        </is>
      </c>
      <c r="C58" s="846" t="n"/>
      <c r="D58" s="847" t="n"/>
      <c r="E58" s="991">
        <f>SUM(E55:E57)</f>
        <v/>
      </c>
      <c r="F58" s="994" t="n"/>
      <c r="G58" s="994" t="n"/>
      <c r="H58" s="994" t="n"/>
      <c r="I58" s="92" t="n"/>
      <c r="J58" s="92" t="n"/>
      <c r="K58" s="567" t="n"/>
      <c r="L58" s="371" t="n"/>
      <c r="M58" s="823" t="n"/>
    </row>
    <row r="59" ht="26.4" customHeight="1">
      <c r="B59" s="85" t="inlineStr">
        <is>
          <t>TRASLADOS (VIAJES)</t>
        </is>
      </c>
      <c r="C59" s="86" t="inlineStr">
        <is>
          <t>Precio Unitario ($)</t>
        </is>
      </c>
      <c r="D59" s="86" t="inlineStr">
        <is>
          <t>Cantidad por item</t>
        </is>
      </c>
      <c r="E59" s="87" t="inlineStr">
        <is>
          <t>Total / Item ($)</t>
        </is>
      </c>
      <c r="F59" s="93" t="n"/>
      <c r="G59" s="93" t="n"/>
      <c r="H59" s="93" t="n"/>
      <c r="I59" s="93" t="n"/>
      <c r="J59" s="93" t="n"/>
      <c r="K59" s="567" t="n"/>
      <c r="L59" s="371" t="n"/>
      <c r="M59" s="823" t="n"/>
    </row>
    <row r="60" ht="15.6" customHeight="1">
      <c r="B60" s="1" t="inlineStr">
        <is>
          <t>Avion/bus/tren/metro/barco (Ida/Vuelta)</t>
        </is>
      </c>
      <c r="C60" s="988" t="n"/>
      <c r="D60" s="311" t="n"/>
      <c r="E60" s="989">
        <f>C60*D60</f>
        <v/>
      </c>
      <c r="F60" s="861" t="n"/>
      <c r="G60" s="861" t="n"/>
      <c r="H60" s="861" t="n"/>
      <c r="I60" s="95" t="n"/>
      <c r="J60" s="861" t="n"/>
      <c r="K60" s="567" t="n"/>
      <c r="L60" s="371" t="n"/>
      <c r="M60" s="823" t="n"/>
    </row>
    <row r="61" ht="15.6" customHeight="1">
      <c r="B61" s="1" t="inlineStr">
        <is>
          <t>Transporte del personal Operativo</t>
        </is>
      </c>
      <c r="C61" s="988" t="n"/>
      <c r="D61" s="311" t="n"/>
      <c r="E61" s="989">
        <f>C61*D61</f>
        <v/>
      </c>
      <c r="F61" s="370" t="n"/>
      <c r="G61" s="861" t="n"/>
      <c r="H61" s="861" t="n"/>
      <c r="I61" s="95" t="n"/>
      <c r="J61" s="861" t="n"/>
      <c r="K61" s="567" t="n"/>
      <c r="L61" s="371" t="n"/>
      <c r="M61" s="823" t="n"/>
    </row>
    <row r="62" ht="15.6" customHeight="1">
      <c r="B62" s="1" t="inlineStr">
        <is>
          <t>Taxis/Remis</t>
        </is>
      </c>
      <c r="C62" s="988" t="n"/>
      <c r="D62" s="311" t="n"/>
      <c r="E62" s="989">
        <f>C62*D62</f>
        <v/>
      </c>
      <c r="F62" s="861" t="n"/>
      <c r="G62" s="861" t="n"/>
      <c r="H62" s="861" t="n"/>
      <c r="I62" s="95" t="n"/>
      <c r="J62" s="92" t="n"/>
      <c r="K62" s="567" t="n"/>
      <c r="L62" s="371" t="n"/>
      <c r="M62" s="823" t="n"/>
    </row>
    <row r="63" ht="15.6" customHeight="1">
      <c r="B63" s="993" t="inlineStr">
        <is>
          <t>TOTAL  TRASLADOS ($)</t>
        </is>
      </c>
      <c r="C63" s="846" t="n"/>
      <c r="D63" s="847" t="n"/>
      <c r="E63" s="991">
        <f>SUM(E60:E62)</f>
        <v/>
      </c>
      <c r="F63" s="994" t="n"/>
      <c r="G63" s="994" t="n"/>
      <c r="H63" s="994" t="n"/>
      <c r="I63" s="92" t="n"/>
      <c r="J63" s="93" t="n"/>
      <c r="K63" s="567" t="n"/>
      <c r="L63" s="371" t="n"/>
      <c r="M63" s="823" t="n"/>
    </row>
    <row r="64" ht="26.4" customHeight="1">
      <c r="B64" s="85" t="inlineStr">
        <is>
          <t>VEHICULO</t>
        </is>
      </c>
      <c r="C64" s="86" t="inlineStr">
        <is>
          <t>Precio ($)</t>
        </is>
      </c>
      <c r="D64" s="86" t="inlineStr">
        <is>
          <t>Cantidad por item</t>
        </is>
      </c>
      <c r="E64" s="87" t="inlineStr">
        <is>
          <t>Total / Item ($)</t>
        </is>
      </c>
      <c r="F64" s="93" t="n"/>
      <c r="G64" s="93" t="n"/>
      <c r="H64" s="93" t="n"/>
      <c r="I64" s="93" t="n"/>
      <c r="J64" s="93" t="n"/>
      <c r="K64" s="93" t="n"/>
      <c r="L64" s="354" t="n"/>
      <c r="M64" s="354" t="n"/>
      <c r="N64" s="354" t="n"/>
    </row>
    <row r="65" ht="13.8" customHeight="1">
      <c r="B65" s="1" t="inlineStr">
        <is>
          <t>Alquiler de vehiculo</t>
        </is>
      </c>
      <c r="C65" s="988" t="n"/>
      <c r="D65" s="217" t="n"/>
      <c r="E65" s="989">
        <f>C65*D65</f>
        <v/>
      </c>
      <c r="F65" s="93" t="n"/>
      <c r="G65" s="93" t="n"/>
      <c r="H65" s="93" t="n"/>
      <c r="I65" s="93" t="n"/>
      <c r="J65" s="93" t="n"/>
      <c r="K65" s="437" t="n"/>
      <c r="L65" s="437" t="n"/>
    </row>
    <row r="66" ht="15.6" customHeight="1">
      <c r="B66" s="1" t="inlineStr">
        <is>
          <t>Combustible</t>
        </is>
      </c>
      <c r="C66" s="988" t="n"/>
      <c r="D66" s="217" t="n"/>
      <c r="E66" s="989">
        <f>C66*D66</f>
        <v/>
      </c>
      <c r="F66" s="93" t="n"/>
      <c r="G66" s="93" t="n"/>
      <c r="H66" s="93" t="n"/>
      <c r="I66" s="93" t="n"/>
      <c r="J66" s="92" t="n"/>
      <c r="K66" s="92" t="n"/>
      <c r="L66" s="438" t="n"/>
    </row>
    <row r="67" ht="15.6" customHeight="1">
      <c r="B67" s="465" t="inlineStr">
        <is>
          <t>Peajes</t>
        </is>
      </c>
      <c r="C67" s="988" t="n"/>
      <c r="D67" s="217" t="n"/>
      <c r="E67" s="989">
        <f>C67*D67</f>
        <v/>
      </c>
      <c r="F67" s="93" t="n"/>
      <c r="G67" s="93" t="n"/>
      <c r="H67" s="93" t="n"/>
      <c r="I67" s="93" t="n"/>
      <c r="J67" s="92" t="n"/>
      <c r="K67" s="92" t="n"/>
      <c r="L67" s="438" t="n"/>
    </row>
    <row r="68" ht="15.6" customHeight="1">
      <c r="B68" s="993" t="inlineStr">
        <is>
          <t>TOTAL  VEHICULO ($)</t>
        </is>
      </c>
      <c r="C68" s="846" t="n"/>
      <c r="D68" s="847" t="n"/>
      <c r="E68" s="991">
        <f>+SUM(E65:E67)</f>
        <v/>
      </c>
      <c r="F68" s="93" t="n"/>
      <c r="G68" s="93" t="n"/>
      <c r="H68" s="93" t="n"/>
      <c r="I68" s="93" t="n"/>
      <c r="J68" s="92" t="n"/>
      <c r="K68" s="92" t="n"/>
      <c r="L68" s="92" t="n"/>
    </row>
    <row r="69" ht="15.6" customHeight="1">
      <c r="B69" s="104" t="inlineStr">
        <is>
          <t>TOTAL  ($) VIATICOS</t>
        </is>
      </c>
      <c r="C69" s="104" t="n"/>
      <c r="D69" s="104" t="n"/>
      <c r="E69" s="995">
        <f>+E68+E63+E58+E53</f>
        <v/>
      </c>
      <c r="F69" s="994" t="n"/>
      <c r="G69" s="994" t="n"/>
      <c r="H69" s="994" t="n"/>
      <c r="I69" s="92" t="n"/>
      <c r="J69" s="92" t="n"/>
      <c r="K69" s="92" t="n"/>
      <c r="L69" s="92" t="n"/>
    </row>
    <row r="70" ht="15" customHeight="1">
      <c r="B70" s="18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</row>
    <row r="71">
      <c r="I71" s="861" t="n"/>
    </row>
    <row r="72">
      <c r="B72" s="425" t="n"/>
      <c r="C72" s="426" t="n"/>
      <c r="D72" s="426" t="n"/>
      <c r="E72" s="426" t="n"/>
      <c r="F72" s="426" t="n"/>
      <c r="G72" s="426" t="n"/>
    </row>
    <row r="73">
      <c r="B73" s="427" t="n"/>
      <c r="C73" s="996" t="n"/>
      <c r="D73" s="996" t="n"/>
      <c r="E73" s="426" t="n"/>
      <c r="F73" s="426" t="n"/>
      <c r="G73" s="996" t="n"/>
    </row>
    <row r="74">
      <c r="B74" s="427" t="n"/>
      <c r="C74" s="996" t="n"/>
      <c r="D74" s="996" t="n"/>
      <c r="E74" s="426" t="n"/>
      <c r="F74" s="426" t="n"/>
      <c r="G74" s="996" t="n"/>
    </row>
    <row r="75">
      <c r="B75" s="427" t="n"/>
      <c r="C75" s="996" t="n"/>
      <c r="D75" s="996" t="n"/>
      <c r="E75" s="426" t="n"/>
      <c r="F75" s="426" t="n"/>
      <c r="G75" s="996" t="n"/>
    </row>
    <row r="76">
      <c r="B76" s="427" t="n"/>
      <c r="C76" s="996" t="n"/>
      <c r="D76" s="996" t="n"/>
      <c r="E76" s="426" t="n"/>
      <c r="F76" s="426" t="n"/>
      <c r="G76" s="996" t="n"/>
    </row>
    <row r="77">
      <c r="B77" s="427" t="n"/>
      <c r="C77" s="427" t="n"/>
      <c r="D77" s="427" t="n"/>
      <c r="E77" s="426" t="n"/>
      <c r="F77" s="426" t="n"/>
      <c r="G77" s="996" t="n"/>
    </row>
    <row r="80">
      <c r="B80" s="777" t="n"/>
    </row>
    <row r="81">
      <c r="C81" s="997" t="n"/>
      <c r="E81" s="823" t="n"/>
    </row>
    <row r="82">
      <c r="C82" s="861" t="n"/>
      <c r="D82" s="419" t="n"/>
      <c r="E82" s="861" t="n"/>
    </row>
    <row r="84">
      <c r="E84" s="861" t="n"/>
    </row>
    <row r="85">
      <c r="E85" s="979" t="n"/>
    </row>
    <row r="86">
      <c r="E86" s="370" t="n"/>
    </row>
  </sheetData>
  <mergeCells count="11">
    <mergeCell ref="B45:K45"/>
    <mergeCell ref="B63:D63"/>
    <mergeCell ref="C8:F8"/>
    <mergeCell ref="B44:K44"/>
    <mergeCell ref="B58:D58"/>
    <mergeCell ref="B10:L10"/>
    <mergeCell ref="B53:D53"/>
    <mergeCell ref="B47:E47"/>
    <mergeCell ref="B68:D68"/>
    <mergeCell ref="C1:I1"/>
    <mergeCell ref="K54:L54"/>
  </mergeCells>
  <printOptions horizontalCentered="1" verticalCentered="1"/>
  <pageMargins left="0.7874015748031497" right="0.1968503937007874" top="0.5905511811023623" bottom="0.3937007874015748" header="0.1968503937007874" footer="0.1968503937007874"/>
  <pageSetup orientation="landscape" paperSize="9" scale="49" horizontalDpi="300" verticalDpi="300"/>
  <headerFooter alignWithMargins="0">
    <oddHeader/>
    <oddFooter>&amp;L&amp;P - &amp;N&amp;C&amp;D&amp;R&amp;F - 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120"/>
  <sheetViews>
    <sheetView view="pageBreakPreview" topLeftCell="A12" zoomScale="74" zoomScaleNormal="50" zoomScaleSheetLayoutView="74" workbookViewId="0">
      <selection activeCell="E27" sqref="E27"/>
    </sheetView>
  </sheetViews>
  <sheetFormatPr baseColWidth="10" defaultColWidth="16.33203125" defaultRowHeight="15"/>
  <cols>
    <col width="95.5546875" customWidth="1" style="257" min="1" max="1"/>
    <col width="24.44140625" bestFit="1" customWidth="1" style="257" min="2" max="2"/>
    <col width="11.88671875" bestFit="1" customWidth="1" style="257" min="3" max="3"/>
    <col width="16.33203125" customWidth="1" style="257" min="4" max="4"/>
    <col width="22.109375" bestFit="1" customWidth="1" style="257" min="5" max="5"/>
    <col width="18.6640625" customWidth="1" style="257" min="6" max="6"/>
    <col width="22.109375" bestFit="1" customWidth="1" style="257" min="7" max="7"/>
    <col width="18.6640625" customWidth="1" style="257" min="8" max="10"/>
    <col width="18.109375" bestFit="1" customWidth="1" style="257" min="11" max="11"/>
    <col width="18.6640625" customWidth="1" style="257" min="12" max="12"/>
    <col width="18.109375" bestFit="1" customWidth="1" style="257" min="13" max="13"/>
    <col width="18.6640625" customWidth="1" style="257" min="14" max="14"/>
    <col width="18.109375" customWidth="1" style="257" min="15" max="15"/>
    <col width="16.33203125" customWidth="1" style="257" min="16" max="16"/>
    <col width="18.44140625" bestFit="1" customWidth="1" style="257" min="17" max="17"/>
    <col width="16.33203125" customWidth="1" style="257" min="18" max="18"/>
    <col width="18.109375" bestFit="1" customWidth="1" style="257" min="19" max="19"/>
    <col width="16.33203125" customWidth="1" style="257" min="20" max="20"/>
    <col width="22.44140625" bestFit="1" customWidth="1" style="257" min="21" max="21"/>
    <col width="16.33203125" customWidth="1" style="257" min="22" max="16384"/>
  </cols>
  <sheetData>
    <row r="1" ht="33" customHeight="1">
      <c r="A1" s="288" t="inlineStr">
        <is>
          <t>APERTURA DE COSTOS</t>
        </is>
      </c>
      <c r="E1" s="134" t="n"/>
      <c r="I1" s="134" t="n"/>
      <c r="K1" s="134" t="n"/>
      <c r="M1" s="134" t="n"/>
      <c r="O1" s="134" t="n"/>
      <c r="Q1" s="269" t="n"/>
      <c r="R1" s="506" t="n"/>
      <c r="S1" s="134" t="n"/>
      <c r="T1" s="506" t="n"/>
    </row>
    <row r="2" ht="33" customHeight="1">
      <c r="A2" s="288" t="inlineStr">
        <is>
          <t>MOA U.O.M. - CATEGORIAS GENERALES</t>
        </is>
      </c>
      <c r="E2" s="998" t="n"/>
      <c r="I2" s="998" t="n"/>
      <c r="K2" s="998" t="n"/>
      <c r="M2" s="998" t="n"/>
      <c r="O2" s="998" t="n"/>
      <c r="Q2" s="269" t="n"/>
      <c r="R2" s="506" t="n"/>
      <c r="S2" s="998" t="n"/>
      <c r="T2" s="506" t="n"/>
    </row>
    <row r="3" ht="22.8" customHeight="1">
      <c r="A3" s="256" t="n"/>
      <c r="E3" s="998" t="n"/>
      <c r="I3" s="998" t="n"/>
      <c r="K3" s="998" t="n"/>
      <c r="M3" s="998" t="n"/>
      <c r="O3" s="998" t="n"/>
      <c r="S3" s="998" t="n"/>
    </row>
    <row r="4">
      <c r="A4" s="507" t="inlineStr">
        <is>
          <t>TP=25%</t>
        </is>
      </c>
      <c r="E4" s="998" t="n"/>
      <c r="I4" s="998" t="n"/>
      <c r="K4" s="998" t="n"/>
      <c r="M4" s="998" t="n"/>
      <c r="O4" s="998" t="n"/>
      <c r="S4" s="998" t="n"/>
    </row>
    <row r="5">
      <c r="A5" s="507" t="inlineStr">
        <is>
          <t>Adicional acería=25%</t>
        </is>
      </c>
      <c r="E5" s="998" t="n"/>
      <c r="G5" s="998" t="n"/>
      <c r="I5" s="998" t="n"/>
      <c r="K5" s="998" t="n"/>
      <c r="M5" s="998" t="n"/>
      <c r="O5" s="998" t="n"/>
      <c r="S5" s="998" t="n"/>
    </row>
    <row r="6">
      <c r="A6" s="507" t="inlineStr">
        <is>
          <t>Calorias=10%</t>
        </is>
      </c>
      <c r="E6" s="998" t="n"/>
      <c r="G6" s="998" t="n"/>
      <c r="I6" s="998" t="n"/>
      <c r="K6" s="998" t="n"/>
      <c r="M6" s="998" t="n"/>
      <c r="O6" s="998" t="n"/>
      <c r="S6" s="998" t="n"/>
    </row>
    <row r="7">
      <c r="A7" s="507" t="inlineStr">
        <is>
          <t>Insalubre=3%</t>
        </is>
      </c>
      <c r="E7" s="998" t="n"/>
      <c r="G7" s="998" t="n"/>
      <c r="I7" s="998" t="n"/>
      <c r="K7" s="998" t="n"/>
      <c r="M7" s="998" t="n"/>
      <c r="O7" s="998" t="n"/>
      <c r="S7" s="998" t="n"/>
    </row>
    <row r="8" ht="22.8" customHeight="1">
      <c r="A8" s="256" t="n"/>
      <c r="E8" s="998" t="n"/>
      <c r="G8" s="998" t="n"/>
      <c r="I8" s="998" t="n"/>
      <c r="K8" s="998" t="n"/>
      <c r="M8" s="998" t="n"/>
      <c r="O8" s="998" t="n"/>
      <c r="S8" s="998" t="n"/>
    </row>
    <row r="9" ht="22.8" customHeight="1">
      <c r="A9" s="256" t="n"/>
      <c r="D9" s="258" t="inlineStr">
        <is>
          <t>vigencia</t>
        </is>
      </c>
      <c r="F9" s="999" t="n"/>
      <c r="H9" s="999" t="n"/>
      <c r="J9" s="999" t="n"/>
      <c r="L9" s="999" t="n"/>
    </row>
    <row r="10" ht="19.2" customFormat="1" customHeight="1" s="260">
      <c r="A10" s="753" t="inlineStr">
        <is>
          <t>VALOR DE CATEGORIA</t>
        </is>
      </c>
      <c r="B10" s="846" t="n"/>
      <c r="C10" s="847" t="n"/>
      <c r="D10" s="259" t="n">
        <v>46174</v>
      </c>
      <c r="E10" s="1000">
        <f>G10*1.1</f>
        <v/>
      </c>
      <c r="F10" s="847" t="n"/>
      <c r="G10" s="1000" t="n">
        <v>5703</v>
      </c>
      <c r="H10" s="847" t="n"/>
      <c r="I10" s="1000" t="n"/>
      <c r="J10" s="847" t="n"/>
      <c r="K10" s="1000" t="n"/>
      <c r="L10" s="847" t="n"/>
      <c r="M10" s="1000" t="n"/>
      <c r="N10" s="847" t="n"/>
      <c r="O10" s="1000" t="n"/>
      <c r="P10" s="847" t="n"/>
      <c r="Q10" s="1000" t="n"/>
      <c r="R10" s="847" t="n"/>
      <c r="S10" s="1000" t="n"/>
      <c r="T10" s="847" t="n"/>
    </row>
    <row r="11" ht="18" customHeight="1" thickBot="1">
      <c r="A11" s="261" t="n"/>
    </row>
    <row r="12" ht="30" customFormat="1" customHeight="1" s="286" thickBot="1">
      <c r="B12" s="612">
        <f>SUM(E16:E22)</f>
        <v/>
      </c>
      <c r="E12" s="755" t="inlineStr">
        <is>
          <t>ESPECIALIDAD EN HORAS NORMALES</t>
        </is>
      </c>
      <c r="F12" s="917" t="n"/>
      <c r="G12" s="917" t="n"/>
      <c r="H12" s="917" t="n"/>
      <c r="I12" s="917" t="n"/>
      <c r="J12" s="917" t="n"/>
      <c r="K12" s="917" t="n"/>
      <c r="L12" s="917" t="n"/>
      <c r="M12" s="917" t="n"/>
      <c r="N12" s="917" t="n"/>
      <c r="O12" s="917" t="n"/>
      <c r="P12" s="917" t="n"/>
      <c r="Q12" s="917" t="n"/>
      <c r="R12" s="917" t="n"/>
      <c r="S12" s="917" t="n"/>
      <c r="T12" s="917" t="n"/>
    </row>
    <row r="13" ht="15.6" customHeight="1">
      <c r="A13" s="262" t="inlineStr">
        <is>
          <t>1) MANO DE OBRA</t>
        </is>
      </c>
      <c r="B13" s="257">
        <f>B12*0.805</f>
        <v/>
      </c>
      <c r="E13" s="759" t="inlineStr">
        <is>
          <t>OFICIAL ESPACIALIZADO</t>
        </is>
      </c>
      <c r="F13" s="1001" t="n"/>
      <c r="G13" s="757" t="inlineStr">
        <is>
          <t>OFICIAL</t>
        </is>
      </c>
      <c r="H13" s="1001" t="n"/>
      <c r="I13" s="757" t="inlineStr">
        <is>
          <t>MEDIO OFICIAL</t>
        </is>
      </c>
      <c r="J13" s="1001" t="n"/>
      <c r="K13" s="757" t="inlineStr">
        <is>
          <t>AYUDANTE</t>
        </is>
      </c>
      <c r="L13" s="1001" t="n"/>
      <c r="M13" s="757">
        <f>'1 MANO DE OBRA'!$B15</f>
        <v/>
      </c>
      <c r="N13" s="1001" t="n"/>
      <c r="O13" s="757">
        <f>'1 MANO DE OBRA'!$B14</f>
        <v/>
      </c>
      <c r="P13" s="1001" t="n"/>
      <c r="Q13" s="759" t="n"/>
      <c r="R13" s="1001" t="n"/>
      <c r="S13" s="759" t="n"/>
      <c r="T13" s="1001" t="n"/>
    </row>
    <row r="14" ht="16.2" customHeight="1" thickBot="1">
      <c r="B14" s="257">
        <f>B13*1.7</f>
        <v/>
      </c>
      <c r="E14" s="284" t="inlineStr">
        <is>
          <t>$/mes</t>
        </is>
      </c>
      <c r="F14" s="285" t="inlineStr">
        <is>
          <t>$/H</t>
        </is>
      </c>
      <c r="G14" s="284" t="inlineStr">
        <is>
          <t>$/mes</t>
        </is>
      </c>
      <c r="H14" s="285" t="inlineStr">
        <is>
          <t>$/H</t>
        </is>
      </c>
      <c r="I14" s="284" t="inlineStr">
        <is>
          <t>$/mes</t>
        </is>
      </c>
      <c r="J14" s="285" t="inlineStr">
        <is>
          <t>$/H</t>
        </is>
      </c>
      <c r="K14" s="284" t="inlineStr">
        <is>
          <t>$/mes</t>
        </is>
      </c>
      <c r="L14" s="285" t="inlineStr">
        <is>
          <t>$/H</t>
        </is>
      </c>
      <c r="M14" s="284" t="inlineStr">
        <is>
          <t>$/mes</t>
        </is>
      </c>
      <c r="N14" s="285" t="inlineStr">
        <is>
          <t>$/H</t>
        </is>
      </c>
      <c r="O14" s="284" t="inlineStr">
        <is>
          <t>$/mes</t>
        </is>
      </c>
      <c r="P14" s="285" t="inlineStr">
        <is>
          <t>$/H</t>
        </is>
      </c>
      <c r="Q14" s="284" t="inlineStr">
        <is>
          <t>$/mes</t>
        </is>
      </c>
      <c r="R14" s="285" t="inlineStr">
        <is>
          <t>$/H</t>
        </is>
      </c>
      <c r="S14" s="284" t="inlineStr">
        <is>
          <t>$/mes</t>
        </is>
      </c>
      <c r="T14" s="285" t="inlineStr">
        <is>
          <t>$/H</t>
        </is>
      </c>
    </row>
    <row r="15">
      <c r="A15" s="760" t="inlineStr">
        <is>
          <t>Concepto</t>
        </is>
      </c>
      <c r="D15" s="760" t="inlineStr">
        <is>
          <t>VALOR - %</t>
        </is>
      </c>
      <c r="E15" s="295" t="inlineStr">
        <is>
          <t>Sueldo Bruto</t>
        </is>
      </c>
      <c r="F15" s="569" t="n"/>
      <c r="G15" s="295" t="inlineStr">
        <is>
          <t>Sueldo Bruto</t>
        </is>
      </c>
      <c r="H15" s="569" t="n"/>
      <c r="I15" s="295" t="inlineStr">
        <is>
          <t>Sueldo Bruto</t>
        </is>
      </c>
      <c r="J15" s="569" t="n"/>
      <c r="K15" s="295" t="inlineStr">
        <is>
          <t>Sueldo Bruto</t>
        </is>
      </c>
      <c r="L15" s="569" t="n"/>
      <c r="M15" s="295" t="inlineStr">
        <is>
          <t>Sueldo Bruto</t>
        </is>
      </c>
      <c r="N15" s="569" t="n"/>
      <c r="O15" s="295" t="inlineStr">
        <is>
          <t>Sueldo Bruto</t>
        </is>
      </c>
      <c r="P15" s="569" t="n"/>
      <c r="Q15" s="295" t="inlineStr">
        <is>
          <t>Sueldo Bruto</t>
        </is>
      </c>
      <c r="R15" s="569" t="n"/>
      <c r="S15" s="295" t="inlineStr">
        <is>
          <t>Sueldo Bruto</t>
        </is>
      </c>
      <c r="T15" s="569" t="n"/>
    </row>
    <row r="16" ht="15.6" customHeight="1">
      <c r="A16" s="267" t="inlineStr">
        <is>
          <t>** Sueldo Básico (CATEGORIA)</t>
        </is>
      </c>
      <c r="D16" s="265" t="n"/>
      <c r="E16" s="274">
        <f>E10*187</f>
        <v/>
      </c>
      <c r="F16" s="263" t="n"/>
      <c r="G16" s="274">
        <f>G10*187</f>
        <v/>
      </c>
      <c r="H16" s="263" t="n"/>
      <c r="I16" s="274">
        <f>I10*187</f>
        <v/>
      </c>
      <c r="J16" s="263" t="n"/>
      <c r="K16" s="274">
        <f>+K10*$C$87</f>
        <v/>
      </c>
      <c r="L16" s="263" t="n"/>
      <c r="M16" s="274">
        <f>+M10*$C$87</f>
        <v/>
      </c>
      <c r="N16" s="263" t="n"/>
      <c r="O16" s="274">
        <f>+O10*$C$87</f>
        <v/>
      </c>
      <c r="P16" s="1002" t="n"/>
      <c r="Q16" s="274">
        <f>+Q10*$C$87</f>
        <v/>
      </c>
      <c r="R16" s="263" t="n"/>
      <c r="S16" s="274">
        <f>+S10*$C$87</f>
        <v/>
      </c>
      <c r="T16" s="1002">
        <f>+S16+S20+S21+S22+S25+S29</f>
        <v/>
      </c>
    </row>
    <row r="17" ht="15.6" customHeight="1">
      <c r="A17" s="267" t="inlineStr">
        <is>
          <t>** vales alimentarios a remunerativos</t>
        </is>
      </c>
      <c r="C17" s="447" t="n"/>
      <c r="D17" s="440" t="n"/>
      <c r="E17" s="274" t="n"/>
      <c r="F17" s="263" t="n"/>
      <c r="G17" s="274" t="n"/>
      <c r="H17" s="263" t="n"/>
      <c r="I17" s="274" t="n"/>
      <c r="J17" s="263" t="n"/>
      <c r="K17" s="274" t="n"/>
      <c r="L17" s="263" t="n"/>
      <c r="M17" s="274" t="n"/>
      <c r="N17" s="263" t="n"/>
      <c r="O17" s="274" t="n"/>
      <c r="P17" s="263" t="n"/>
      <c r="Q17" s="274" t="n"/>
      <c r="R17" s="263" t="n"/>
      <c r="S17" s="274" t="n"/>
      <c r="T17" s="263" t="n"/>
    </row>
    <row r="18">
      <c r="A18" s="260" t="inlineStr">
        <is>
          <t>** Electromecanico</t>
        </is>
      </c>
      <c r="D18" s="265" t="n"/>
      <c r="E18" s="274" t="n"/>
      <c r="F18" s="263" t="n"/>
      <c r="G18" s="274" t="n"/>
      <c r="H18" s="263" t="n"/>
      <c r="I18" s="274" t="n"/>
      <c r="J18" s="263" t="n"/>
      <c r="K18" s="274" t="n"/>
      <c r="L18" s="263" t="n"/>
      <c r="M18" s="274">
        <f>$D$18*M16</f>
        <v/>
      </c>
      <c r="N18" s="263" t="n"/>
      <c r="O18" s="274">
        <f>$D$18*O16</f>
        <v/>
      </c>
      <c r="P18" s="263" t="n"/>
      <c r="Q18" s="274" t="n"/>
      <c r="R18" s="263" t="n"/>
      <c r="S18" s="274" t="n"/>
      <c r="T18" s="263" t="n"/>
    </row>
    <row r="19">
      <c r="A19" s="260" t="inlineStr">
        <is>
          <t>** Antigüedad</t>
        </is>
      </c>
      <c r="B19" s="320" t="n"/>
      <c r="C19" s="320" t="n"/>
      <c r="D19" s="476" t="n">
        <v>0</v>
      </c>
      <c r="E19" s="274" t="n"/>
      <c r="F19" s="263" t="n"/>
      <c r="G19" s="274" t="n"/>
      <c r="H19" s="263" t="n"/>
      <c r="I19" s="274" t="n"/>
      <c r="J19" s="263" t="n"/>
      <c r="K19" s="274">
        <f>K16*$D$19</f>
        <v/>
      </c>
      <c r="L19" s="263" t="n"/>
      <c r="M19" s="274">
        <f>M16*$D$19</f>
        <v/>
      </c>
      <c r="N19" s="263" t="n"/>
      <c r="O19" s="274">
        <f>O16*$D$19</f>
        <v/>
      </c>
      <c r="P19" s="263" t="n"/>
      <c r="Q19" s="274">
        <f>+(Q16+Q17+Q20+Q21+Q22+Q25)*$D$19*$C$19</f>
        <v/>
      </c>
      <c r="R19" s="263" t="n"/>
      <c r="S19" s="274">
        <f>+(S16+S17+S20+S21+S22+S25)*$D$19*$C$19</f>
        <v/>
      </c>
      <c r="T19" s="263" t="n"/>
    </row>
    <row r="20">
      <c r="A20" s="260" t="inlineStr">
        <is>
          <t>** Presentismo</t>
        </is>
      </c>
      <c r="B20" s="570" t="n"/>
      <c r="D20" s="321" t="n">
        <v>0.2</v>
      </c>
      <c r="E20" s="289">
        <f>D20*E16</f>
        <v/>
      </c>
      <c r="F20" s="263" t="n"/>
      <c r="G20" s="289">
        <f>D20*G16</f>
        <v/>
      </c>
      <c r="H20" s="263" t="n"/>
      <c r="I20" s="289">
        <f>D20*I16</f>
        <v/>
      </c>
      <c r="J20" s="263" t="n"/>
      <c r="K20" s="289" t="n"/>
      <c r="L20" s="263" t="n"/>
      <c r="M20" s="289">
        <f>M16*$D$20</f>
        <v/>
      </c>
      <c r="N20" s="263" t="n"/>
      <c r="O20" s="289">
        <f>O16*$D$20</f>
        <v/>
      </c>
      <c r="P20" s="263" t="n"/>
      <c r="Q20" s="289">
        <f>+Q16*20%*$D$20</f>
        <v/>
      </c>
      <c r="R20" s="263" t="n"/>
      <c r="S20" s="289">
        <f>$D20*S10</f>
        <v/>
      </c>
      <c r="T20" s="263" t="n"/>
    </row>
    <row r="21">
      <c r="A21" s="260" t="inlineStr">
        <is>
          <t>** Adicional ELECTRICIDAD</t>
        </is>
      </c>
      <c r="B21" s="570" t="n"/>
      <c r="D21" s="321" t="n"/>
      <c r="E21" s="289">
        <f>E16*D21</f>
        <v/>
      </c>
      <c r="F21" s="1003" t="n"/>
      <c r="G21" s="289">
        <f>G16*F21</f>
        <v/>
      </c>
      <c r="H21" s="263" t="n"/>
      <c r="I21" s="289">
        <f>I16*H21</f>
        <v/>
      </c>
      <c r="J21" s="263" t="n"/>
      <c r="K21" s="289">
        <f>K10*20%*$D21*187</f>
        <v/>
      </c>
      <c r="L21" s="263" t="n"/>
      <c r="M21" s="289" t="n"/>
      <c r="N21" s="263" t="n"/>
      <c r="O21" s="289" t="n"/>
      <c r="P21" s="263" t="n"/>
      <c r="Q21" s="289" t="n"/>
      <c r="R21" s="263" t="n"/>
      <c r="S21" s="289">
        <f>+S16*20%*$D$21</f>
        <v/>
      </c>
      <c r="T21" s="263" t="n"/>
    </row>
    <row r="22">
      <c r="A22" s="260" t="inlineStr">
        <is>
          <t>** ADICIONAL ALTURA (10%)</t>
        </is>
      </c>
      <c r="B22" s="1004" t="n"/>
      <c r="D22" s="321" t="n"/>
      <c r="E22" s="289">
        <f>E16*D22</f>
        <v/>
      </c>
      <c r="F22" s="429" t="n"/>
      <c r="G22" s="289">
        <f>G16*D22</f>
        <v/>
      </c>
      <c r="H22" s="429" t="n"/>
      <c r="I22" s="289">
        <f>I16*D22</f>
        <v/>
      </c>
      <c r="J22" s="429" t="n"/>
      <c r="K22" s="289" t="n"/>
      <c r="L22" s="429" t="n"/>
      <c r="M22" s="289" t="n"/>
      <c r="N22" s="429" t="n"/>
      <c r="O22" s="289" t="n"/>
      <c r="P22" s="429" t="n"/>
      <c r="Q22" s="289">
        <f>+Q16*13%*$D$22</f>
        <v/>
      </c>
      <c r="R22" s="263" t="n"/>
      <c r="S22" s="289">
        <f>$D22*9</f>
        <v/>
      </c>
      <c r="T22" s="429" t="n"/>
    </row>
    <row r="23">
      <c r="A23" s="260" t="inlineStr">
        <is>
          <t>** Adicional Nocturnas</t>
        </is>
      </c>
      <c r="D23" s="321" t="n"/>
      <c r="E23" s="289" t="n"/>
      <c r="F23" s="429" t="n"/>
      <c r="G23" s="289" t="n"/>
      <c r="H23" s="429" t="n"/>
      <c r="I23" s="289" t="n"/>
      <c r="J23" s="429" t="n"/>
      <c r="K23" s="289">
        <f>K$10*13%*$D23*187</f>
        <v/>
      </c>
      <c r="L23" s="429" t="n"/>
      <c r="M23" s="289" t="n"/>
      <c r="N23" s="429" t="n"/>
      <c r="O23" s="289" t="n"/>
      <c r="P23" s="429" t="n"/>
      <c r="Q23" s="289">
        <f>+Q17*13%*$D$22</f>
        <v/>
      </c>
      <c r="R23" s="263" t="n"/>
      <c r="S23" s="289">
        <f>S16*10%*$D$23</f>
        <v/>
      </c>
      <c r="T23" s="263" t="n"/>
    </row>
    <row r="24">
      <c r="A24" s="260" t="inlineStr">
        <is>
          <t>** Adicional Polucion</t>
        </is>
      </c>
      <c r="D24" s="321" t="n"/>
      <c r="E24" s="289" t="n"/>
      <c r="F24" s="429" t="n"/>
      <c r="G24" s="289" t="n"/>
      <c r="H24" s="429" t="n"/>
      <c r="I24" s="289" t="n"/>
      <c r="J24" s="429" t="n"/>
      <c r="K24" s="289">
        <f>K$10*33%*$D24*187</f>
        <v/>
      </c>
      <c r="L24" s="263" t="n"/>
      <c r="M24" s="289" t="n"/>
      <c r="N24" s="263" t="n"/>
      <c r="O24" s="289" t="n"/>
      <c r="P24" s="263" t="n"/>
      <c r="Q24" s="289">
        <f>+O24</f>
        <v/>
      </c>
      <c r="R24" s="263" t="n"/>
      <c r="S24" s="289">
        <f>+Q24</f>
        <v/>
      </c>
      <c r="T24" s="263" t="n"/>
    </row>
    <row r="25" ht="15.6" customHeight="1">
      <c r="A25" s="260" t="inlineStr">
        <is>
          <t>** Adicional Aceria</t>
        </is>
      </c>
      <c r="B25" s="1004" t="n"/>
      <c r="C25" s="1005" t="n"/>
      <c r="D25" s="430" t="n"/>
      <c r="E25" s="289" t="n"/>
      <c r="F25" s="429" t="n"/>
      <c r="G25" s="289" t="n"/>
      <c r="H25" s="429" t="n"/>
      <c r="I25" s="289" t="n"/>
      <c r="J25" s="429" t="n"/>
      <c r="K25" s="289">
        <f>$D25*237*187</f>
        <v/>
      </c>
      <c r="L25" s="429" t="n"/>
      <c r="M25" s="289" t="n"/>
      <c r="N25" s="429" t="n"/>
      <c r="O25" s="289" t="n"/>
      <c r="P25" s="429" t="n"/>
      <c r="Q25" s="289">
        <f>+Q16*20%*$D$25</f>
        <v/>
      </c>
      <c r="R25" s="263" t="n"/>
      <c r="S25" s="289">
        <f>+S16*20%*$D$25</f>
        <v/>
      </c>
      <c r="T25" s="429" t="n"/>
    </row>
    <row r="26">
      <c r="A26" s="260" t="inlineStr">
        <is>
          <t>NR MES</t>
        </is>
      </c>
      <c r="D26" s="572" t="n"/>
      <c r="E26" s="515" t="n"/>
      <c r="F26" s="263" t="n"/>
      <c r="G26" s="515" t="n"/>
      <c r="H26" s="263" t="n"/>
      <c r="I26" s="515" t="n"/>
      <c r="J26" s="263" t="n"/>
      <c r="K26" s="289" t="n"/>
      <c r="L26" s="263" t="n"/>
      <c r="M26" s="515" t="n"/>
      <c r="N26" s="263" t="n"/>
      <c r="O26" s="289" t="n"/>
      <c r="P26" s="263" t="n"/>
      <c r="Q26" s="289">
        <f>SUM(Q16:Q25)*$D$26</f>
        <v/>
      </c>
      <c r="R26" s="263" t="n"/>
      <c r="S26" s="289">
        <f>SUM(S16:S25)*$D$26</f>
        <v/>
      </c>
      <c r="T26" s="263" t="n"/>
    </row>
    <row r="27" ht="16.2" customHeight="1" thickBot="1">
      <c r="A27" s="466" t="inlineStr">
        <is>
          <t>** Previsión de rotacion he AL 100%+ fc</t>
        </is>
      </c>
      <c r="D27" s="265" t="n"/>
      <c r="E27" s="290">
        <f>(70%*SUM(E16:E26)+55000)/1.4</f>
        <v/>
      </c>
      <c r="F27" s="263" t="n"/>
      <c r="G27" s="290">
        <f>(70%*SUM(G16:G26)+55000)/1.4</f>
        <v/>
      </c>
      <c r="H27" s="263" t="n"/>
      <c r="I27" s="290" t="n"/>
      <c r="J27" s="263" t="n"/>
      <c r="K27" s="290" t="n"/>
      <c r="L27" s="263" t="n"/>
      <c r="M27" s="290" t="n"/>
      <c r="N27" s="263" t="n"/>
      <c r="O27" s="290" t="n"/>
      <c r="P27" s="263" t="n"/>
      <c r="Q27" s="290" t="n"/>
      <c r="R27" s="263" t="n"/>
      <c r="S27" s="290" t="n"/>
      <c r="T27" s="263" t="n"/>
    </row>
    <row r="28">
      <c r="E28" s="266" t="n"/>
      <c r="F28" s="263" t="n"/>
      <c r="G28" s="266" t="n"/>
      <c r="H28" s="263" t="n"/>
      <c r="I28" s="266" t="n"/>
      <c r="J28" s="263" t="n"/>
      <c r="K28" s="266" t="n"/>
      <c r="L28" s="263" t="n"/>
      <c r="M28" s="266" t="n"/>
      <c r="N28" s="263" t="n"/>
      <c r="O28" s="266" t="n"/>
      <c r="P28" s="263" t="n"/>
      <c r="Q28" s="266" t="n"/>
      <c r="R28" s="263" t="n"/>
      <c r="S28" s="266" t="n"/>
      <c r="T28" s="263" t="n"/>
    </row>
    <row r="29" ht="15.6" customHeight="1">
      <c r="A29" s="267" t="inlineStr">
        <is>
          <t>** ADICIONAL ACINDAR 12% sobre todos los conceptos excepto oras extras</t>
        </is>
      </c>
      <c r="C29" s="447" t="n">
        <v>0.12</v>
      </c>
      <c r="E29" s="1006" t="n"/>
      <c r="F29" s="263" t="n"/>
      <c r="G29" s="1006" t="n"/>
      <c r="H29" s="263" t="n"/>
      <c r="I29" s="1006" t="n"/>
      <c r="J29" s="263" t="n"/>
      <c r="K29" s="1006" t="n"/>
      <c r="L29" s="263" t="n"/>
      <c r="M29" s="1006" t="n"/>
      <c r="N29" s="263" t="n"/>
      <c r="O29" s="1006" t="n"/>
      <c r="P29" s="263" t="n"/>
      <c r="Q29" s="1006" t="n"/>
      <c r="R29" s="263" t="n"/>
      <c r="S29" s="1006" t="n"/>
      <c r="T29" s="263" t="n"/>
    </row>
    <row r="30" ht="15.6" customHeight="1">
      <c r="A30" s="267" t="n"/>
      <c r="E30" s="1006" t="n"/>
      <c r="F30" s="263" t="n"/>
      <c r="G30" s="1006" t="n"/>
      <c r="H30" s="263" t="n"/>
      <c r="I30" s="1006" t="n"/>
      <c r="J30" s="263" t="n"/>
      <c r="K30" s="1006" t="n"/>
      <c r="L30" s="263" t="n"/>
      <c r="M30" s="1006" t="n"/>
      <c r="N30" s="263" t="n"/>
      <c r="O30" s="1006" t="n"/>
      <c r="P30" s="263" t="n"/>
      <c r="Q30" s="1006" t="n"/>
      <c r="R30" s="263" t="n"/>
      <c r="S30" s="1006" t="n"/>
      <c r="T30" s="263" t="n"/>
    </row>
    <row r="31" ht="15.6" customHeight="1">
      <c r="B31" s="267" t="inlineStr">
        <is>
          <t>Sub - Total</t>
        </is>
      </c>
      <c r="E31" s="322">
        <f>SUM(E16:E27)+E29</f>
        <v/>
      </c>
      <c r="F31" s="1007">
        <f>E31/$C$87</f>
        <v/>
      </c>
      <c r="G31" s="322">
        <f>SUM(G16:G27)+G29</f>
        <v/>
      </c>
      <c r="H31" s="1007">
        <f>G31/$C$87</f>
        <v/>
      </c>
      <c r="I31" s="322">
        <f>SUM(I16:I27)+I29</f>
        <v/>
      </c>
      <c r="J31" s="1007">
        <f>I31/$C$87</f>
        <v/>
      </c>
      <c r="K31" s="322">
        <f>SUM(K16:K27)+K29</f>
        <v/>
      </c>
      <c r="L31" s="1007">
        <f>K31/$C$87</f>
        <v/>
      </c>
      <c r="M31" s="322">
        <f>SUM(M16:M27)+M29</f>
        <v/>
      </c>
      <c r="N31" s="1007">
        <f>M31/$C$87</f>
        <v/>
      </c>
      <c r="O31" s="322">
        <f>SUM(O16:O27)+O29</f>
        <v/>
      </c>
      <c r="P31" s="1007">
        <f>O31/$C$87</f>
        <v/>
      </c>
      <c r="Q31" s="322">
        <f>SUM(Q16:Q27)+Q29</f>
        <v/>
      </c>
      <c r="R31" s="1007">
        <f>Q31/$C$87</f>
        <v/>
      </c>
      <c r="S31" s="322">
        <f>SUM(S16:S27)+S29</f>
        <v/>
      </c>
      <c r="T31" s="1007">
        <f>S31/$C$87</f>
        <v/>
      </c>
    </row>
    <row r="32">
      <c r="D32" s="269" t="n"/>
      <c r="E32" s="266" t="n"/>
      <c r="F32" s="263" t="n"/>
      <c r="G32" s="266" t="n"/>
      <c r="H32" s="263" t="n"/>
      <c r="I32" s="266" t="n"/>
      <c r="J32" s="263">
        <f>30.16</f>
        <v/>
      </c>
      <c r="K32" s="266" t="inlineStr">
        <is>
          <t xml:space="preserve"> </t>
        </is>
      </c>
      <c r="L32" s="263" t="n"/>
      <c r="M32" s="266" t="inlineStr">
        <is>
          <t xml:space="preserve"> </t>
        </is>
      </c>
      <c r="N32" s="263" t="n"/>
      <c r="O32" s="266" t="inlineStr">
        <is>
          <t xml:space="preserve"> </t>
        </is>
      </c>
      <c r="P32" s="263" t="n"/>
      <c r="Q32" s="266" t="inlineStr">
        <is>
          <t xml:space="preserve"> </t>
        </is>
      </c>
      <c r="R32" s="263" t="n"/>
      <c r="S32" s="266" t="inlineStr">
        <is>
          <t xml:space="preserve"> </t>
        </is>
      </c>
      <c r="T32" s="263" t="n"/>
    </row>
    <row r="33">
      <c r="D33" s="269" t="n"/>
      <c r="E33" s="266" t="n"/>
      <c r="F33" s="263" t="n"/>
      <c r="G33" s="266" t="n"/>
      <c r="H33" s="263" t="n"/>
      <c r="I33" s="266" t="n"/>
      <c r="J33" s="1008" t="n"/>
      <c r="K33" s="266" t="n"/>
      <c r="L33" s="263" t="n"/>
      <c r="M33" s="266" t="n"/>
      <c r="N33" s="263" t="n"/>
      <c r="O33" s="266" t="n"/>
      <c r="P33" s="263" t="n"/>
      <c r="Q33" s="266" t="n"/>
      <c r="R33" s="263" t="n"/>
      <c r="S33" s="266" t="n"/>
      <c r="T33" s="263" t="n"/>
    </row>
    <row r="34" ht="15.6" customHeight="1">
      <c r="A34" s="262" t="inlineStr">
        <is>
          <t>2) CARGAS SOCIALES DIRECTAS</t>
        </is>
      </c>
      <c r="D34" s="269" t="n"/>
      <c r="E34" s="266" t="n"/>
      <c r="F34" s="263" t="n"/>
      <c r="G34" s="266" t="n"/>
      <c r="H34" s="263" t="n"/>
      <c r="I34" s="266" t="n"/>
      <c r="J34" s="263" t="n"/>
      <c r="K34" s="266" t="n"/>
      <c r="L34" s="263" t="n"/>
      <c r="M34" s="266" t="n"/>
      <c r="N34" s="263" t="n"/>
      <c r="O34" s="266" t="n"/>
      <c r="P34" s="263" t="n"/>
      <c r="Q34" s="266" t="n"/>
      <c r="R34" s="263" t="n"/>
      <c r="S34" s="266" t="n"/>
      <c r="T34" s="263" t="n"/>
    </row>
    <row r="35">
      <c r="A35" s="760" t="inlineStr">
        <is>
          <t>Concepto</t>
        </is>
      </c>
      <c r="D35" s="760" t="inlineStr">
        <is>
          <t>VALOR - %</t>
        </is>
      </c>
      <c r="E35" s="295" t="n"/>
      <c r="F35" s="569" t="n"/>
      <c r="G35" s="295" t="n"/>
      <c r="H35" s="569" t="n"/>
      <c r="I35" s="295" t="n"/>
      <c r="J35" s="569" t="n"/>
      <c r="K35" s="295" t="n"/>
      <c r="L35" s="569" t="n"/>
      <c r="M35" s="295" t="n"/>
      <c r="N35" s="569" t="n"/>
      <c r="O35" s="295" t="n"/>
      <c r="P35" s="569" t="n"/>
      <c r="Q35" s="295" t="n"/>
      <c r="R35" s="569" t="n"/>
      <c r="S35" s="295" t="n"/>
      <c r="T35" s="569" t="n"/>
    </row>
    <row r="36">
      <c r="A36" s="574" t="inlineStr">
        <is>
          <t>** Sistema Integrado de Jubilac. y Pensiones</t>
        </is>
      </c>
      <c r="B36" s="574" t="n"/>
      <c r="C36" s="574" t="n"/>
      <c r="D36" s="575" t="n">
        <v>0.09071884714891547</v>
      </c>
      <c r="E36" s="274">
        <f>+$D$36*E31</f>
        <v/>
      </c>
      <c r="F36" s="263" t="n"/>
      <c r="G36" s="274">
        <f>+$D$36*G31</f>
        <v/>
      </c>
      <c r="H36" s="263" t="n"/>
      <c r="I36" s="274">
        <f>+$D$36*I31</f>
        <v/>
      </c>
      <c r="J36" s="263" t="n"/>
      <c r="K36" s="274">
        <f>+$D$36*K31</f>
        <v/>
      </c>
      <c r="L36" s="263" t="n"/>
      <c r="M36" s="274">
        <f>+$D$36*M31</f>
        <v/>
      </c>
      <c r="N36" s="263" t="n"/>
      <c r="O36" s="274">
        <f>+$D$36*O31</f>
        <v/>
      </c>
      <c r="P36" s="263" t="n"/>
      <c r="Q36" s="274">
        <f>+$D$36*Q31</f>
        <v/>
      </c>
      <c r="R36" s="263" t="n"/>
      <c r="S36" s="274">
        <f>+$D$36*S31</f>
        <v/>
      </c>
      <c r="T36" s="263" t="n"/>
    </row>
    <row r="37">
      <c r="A37" s="574" t="inlineStr">
        <is>
          <t xml:space="preserve">** Régimen Nacional de Asig. Familiares </t>
        </is>
      </c>
      <c r="B37" s="574" t="n"/>
      <c r="C37" s="574" t="n"/>
      <c r="D37" s="270" t="n">
        <v>0.0444</v>
      </c>
      <c r="E37" s="274">
        <f>+$D$37*E31</f>
        <v/>
      </c>
      <c r="F37" s="263" t="n"/>
      <c r="G37" s="274">
        <f>+$D$37*G31</f>
        <v/>
      </c>
      <c r="H37" s="263" t="n"/>
      <c r="I37" s="274">
        <f>+$D$37*I31</f>
        <v/>
      </c>
      <c r="J37" s="263" t="n"/>
      <c r="K37" s="274">
        <f>+$D$37*K31</f>
        <v/>
      </c>
      <c r="L37" s="263" t="n"/>
      <c r="M37" s="274">
        <f>+$D$37*M31</f>
        <v/>
      </c>
      <c r="N37" s="263" t="n"/>
      <c r="O37" s="274">
        <f>+$D$37*O31</f>
        <v/>
      </c>
      <c r="P37" s="263" t="n"/>
      <c r="Q37" s="274">
        <f>+$D$37*Q31</f>
        <v/>
      </c>
      <c r="R37" s="263" t="n"/>
      <c r="S37" s="274">
        <f>+$D$37*S31</f>
        <v/>
      </c>
      <c r="T37" s="263" t="n"/>
    </row>
    <row r="38">
      <c r="A38" s="574" t="inlineStr">
        <is>
          <t>** Fondo Nacional de Empleo</t>
        </is>
      </c>
      <c r="B38" s="574" t="n"/>
      <c r="C38" s="574" t="n"/>
      <c r="D38" s="270" t="n">
        <v>0.0089</v>
      </c>
      <c r="E38" s="274">
        <f>+$D$38*E31</f>
        <v/>
      </c>
      <c r="F38" s="263" t="n"/>
      <c r="G38" s="274">
        <f>+$D$38*G31</f>
        <v/>
      </c>
      <c r="H38" s="263" t="n"/>
      <c r="I38" s="274">
        <f>+$D$38*I31</f>
        <v/>
      </c>
      <c r="J38" s="263" t="n"/>
      <c r="K38" s="274">
        <f>+$D$38*K31</f>
        <v/>
      </c>
      <c r="L38" s="263" t="n"/>
      <c r="M38" s="274">
        <f>+$D$38*M31</f>
        <v/>
      </c>
      <c r="N38" s="263" t="n"/>
      <c r="O38" s="274">
        <f>+$D$38*O31</f>
        <v/>
      </c>
      <c r="P38" s="263" t="n"/>
      <c r="Q38" s="274">
        <f>+$D$38*Q31</f>
        <v/>
      </c>
      <c r="R38" s="263" t="n"/>
      <c r="S38" s="274">
        <f>+$D$38*S31</f>
        <v/>
      </c>
      <c r="T38" s="263" t="n"/>
    </row>
    <row r="39">
      <c r="A39" s="574" t="inlineStr">
        <is>
          <t>** Ley 19.032</t>
        </is>
      </c>
      <c r="B39" s="574" t="n"/>
      <c r="C39" s="574" t="n"/>
      <c r="D39" s="270" t="n">
        <v>0.015</v>
      </c>
      <c r="E39" s="274">
        <f>+$D$39*E31</f>
        <v/>
      </c>
      <c r="F39" s="263" t="n"/>
      <c r="G39" s="274">
        <f>+$D$39*G31</f>
        <v/>
      </c>
      <c r="H39" s="263" t="n"/>
      <c r="I39" s="274">
        <f>+$D$39*I31</f>
        <v/>
      </c>
      <c r="J39" s="263" t="n"/>
      <c r="K39" s="274">
        <f>+$D$39*K31</f>
        <v/>
      </c>
      <c r="L39" s="263" t="n"/>
      <c r="M39" s="274">
        <f>+$D$39*M31</f>
        <v/>
      </c>
      <c r="N39" s="263" t="n"/>
      <c r="O39" s="274">
        <f>+$D$39*O31</f>
        <v/>
      </c>
      <c r="P39" s="263" t="n"/>
      <c r="Q39" s="274">
        <f>+$D$39*Q31</f>
        <v/>
      </c>
      <c r="R39" s="263" t="n"/>
      <c r="S39" s="274">
        <f>+$D$39*S31</f>
        <v/>
      </c>
      <c r="T39" s="263" t="n"/>
    </row>
    <row r="40">
      <c r="A40" s="574" t="inlineStr">
        <is>
          <t>** Régimen Nacional de Obras Sociales</t>
        </is>
      </c>
      <c r="B40" s="574" t="n"/>
      <c r="C40" s="574" t="n"/>
      <c r="D40" s="270" t="n">
        <v>0.055</v>
      </c>
      <c r="E40" s="274">
        <f>+$D$40*E31</f>
        <v/>
      </c>
      <c r="F40" s="263" t="n"/>
      <c r="G40" s="274">
        <f>+$D$40*G31</f>
        <v/>
      </c>
      <c r="H40" s="263" t="n"/>
      <c r="I40" s="274">
        <f>+$D$40*I31</f>
        <v/>
      </c>
      <c r="J40" s="263" t="n"/>
      <c r="K40" s="274">
        <f>+$D$40*K31</f>
        <v/>
      </c>
      <c r="L40" s="263" t="n"/>
      <c r="M40" s="274">
        <f>+$D$40*M31</f>
        <v/>
      </c>
      <c r="N40" s="263" t="n"/>
      <c r="O40" s="274">
        <f>+$D$40*O31</f>
        <v/>
      </c>
      <c r="P40" s="263" t="n"/>
      <c r="Q40" s="274">
        <f>+$D$40*Q31</f>
        <v/>
      </c>
      <c r="R40" s="263" t="n"/>
      <c r="S40" s="274">
        <f>+$D$40*S31</f>
        <v/>
      </c>
      <c r="T40" s="263" t="n"/>
    </row>
    <row r="41">
      <c r="A41" s="574" t="inlineStr">
        <is>
          <t>** Fondo Solidario de Redistribución - ANNSSAL</t>
        </is>
      </c>
      <c r="B41" s="432" t="n">
        <v>7368</v>
      </c>
      <c r="C41" s="574" t="n"/>
      <c r="D41" s="270" t="n">
        <v>0.005</v>
      </c>
      <c r="E41" s="274">
        <f>+$D$41*E31</f>
        <v/>
      </c>
      <c r="F41" s="263" t="n"/>
      <c r="G41" s="274">
        <f>+$D$41*G31</f>
        <v/>
      </c>
      <c r="H41" s="263" t="n"/>
      <c r="I41" s="274">
        <f>+$D$41*I31</f>
        <v/>
      </c>
      <c r="J41" s="263" t="n"/>
      <c r="K41" s="274">
        <f>+$D$41*K31</f>
        <v/>
      </c>
      <c r="L41" s="263" t="n"/>
      <c r="M41" s="274">
        <f>+$D$41*M31</f>
        <v/>
      </c>
      <c r="N41" s="263" t="n"/>
      <c r="O41" s="274">
        <f>+$D$41*O31</f>
        <v/>
      </c>
      <c r="P41" s="263" t="n"/>
      <c r="Q41" s="274">
        <f>+$D$41*Q31</f>
        <v/>
      </c>
      <c r="R41" s="263" t="n"/>
      <c r="S41" s="274">
        <f>+$D$41*S31</f>
        <v/>
      </c>
      <c r="T41" s="263" t="n"/>
    </row>
    <row r="42" ht="15.6" customHeight="1">
      <c r="A42" s="574" t="inlineStr">
        <is>
          <t>ADICIONAL UOCRA</t>
        </is>
      </c>
      <c r="B42" s="1009" t="n"/>
      <c r="D42" s="323" t="n">
        <v>0.05</v>
      </c>
      <c r="E42" s="291">
        <f>$D42*E31</f>
        <v/>
      </c>
      <c r="F42" s="1010" t="n"/>
      <c r="G42" s="291">
        <f>$D42*G31</f>
        <v/>
      </c>
      <c r="H42" s="1010" t="n"/>
      <c r="I42" s="291">
        <f>$D42*I31</f>
        <v/>
      </c>
      <c r="J42" s="1010" t="n"/>
      <c r="K42" s="291">
        <f>$D42*K31</f>
        <v/>
      </c>
      <c r="L42" s="1010" t="n"/>
      <c r="M42" s="291">
        <f>$D42*M31</f>
        <v/>
      </c>
      <c r="N42" s="1010" t="n"/>
      <c r="O42" s="291">
        <f>$D42*O31</f>
        <v/>
      </c>
      <c r="P42" s="1010" t="n"/>
      <c r="Q42" s="291">
        <f>$D42*Q31</f>
        <v/>
      </c>
      <c r="R42" s="1010" t="n"/>
      <c r="S42" s="291">
        <f>$D42*S31</f>
        <v/>
      </c>
      <c r="T42" s="1010" t="n"/>
    </row>
    <row r="43" ht="15.6" customHeight="1" thickBot="1">
      <c r="A43" s="574" t="inlineStr">
        <is>
          <t>** Contribución tickets POR CUOTA SINDICAL</t>
        </is>
      </c>
      <c r="B43" s="574" t="n"/>
      <c r="C43" s="574" t="n"/>
      <c r="D43" s="270" t="n">
        <v>0.025</v>
      </c>
      <c r="E43" s="290">
        <f>+E17/(1-$D$43)-E17</f>
        <v/>
      </c>
      <c r="F43" s="263" t="n"/>
      <c r="G43" s="290">
        <f>+G17/(1-$D$43)-G17</f>
        <v/>
      </c>
      <c r="H43" s="263" t="n"/>
      <c r="I43" s="290">
        <f>+I17/(1-$D$43)-I17</f>
        <v/>
      </c>
      <c r="J43" s="263" t="n"/>
      <c r="K43" s="290">
        <f>+K17/(1-$D$43)-K17</f>
        <v/>
      </c>
      <c r="L43" s="263" t="n"/>
      <c r="M43" s="290">
        <f>+M17/(1-$D$43)-M17</f>
        <v/>
      </c>
      <c r="N43" s="263" t="n"/>
      <c r="O43" s="290">
        <f>+O17/(1-$D$43)-O17</f>
        <v/>
      </c>
      <c r="P43" s="263" t="n"/>
      <c r="Q43" s="290">
        <f>+Q17/(1-$D$43)-Q17</f>
        <v/>
      </c>
      <c r="R43" s="263" t="n"/>
      <c r="S43" s="290">
        <f>+S17/(1-$D$43)-S17</f>
        <v/>
      </c>
      <c r="T43" s="263" t="n"/>
    </row>
    <row r="44">
      <c r="E44" s="266" t="n"/>
      <c r="F44" s="263" t="n"/>
      <c r="G44" s="266" t="n"/>
      <c r="H44" s="263" t="n"/>
      <c r="I44" s="266" t="n"/>
      <c r="J44" s="263" t="n"/>
      <c r="K44" s="266" t="n"/>
      <c r="L44" s="263" t="n"/>
      <c r="M44" s="266" t="n"/>
      <c r="N44" s="263" t="n"/>
      <c r="O44" s="266" t="n"/>
      <c r="P44" s="263" t="n"/>
      <c r="Q44" s="266" t="n"/>
      <c r="R44" s="263" t="n"/>
      <c r="S44" s="266" t="n"/>
      <c r="T44" s="263" t="n"/>
    </row>
    <row r="45" ht="15.6" customHeight="1">
      <c r="B45" s="267" t="inlineStr">
        <is>
          <t>Sub - Total</t>
        </is>
      </c>
      <c r="C45" s="580">
        <f>+SUM(E36:E41)/E31</f>
        <v/>
      </c>
      <c r="D45" s="271">
        <f>+E45/$E$31</f>
        <v/>
      </c>
      <c r="E45" s="272">
        <f>+SUM(E36:E43)</f>
        <v/>
      </c>
      <c r="F45" s="1007">
        <f>E45/$C$87</f>
        <v/>
      </c>
      <c r="G45" s="272">
        <f>+SUM(G36:G43)</f>
        <v/>
      </c>
      <c r="H45" s="1007">
        <f>G45/$C$87</f>
        <v/>
      </c>
      <c r="I45" s="272">
        <f>SUM(I36:I43)</f>
        <v/>
      </c>
      <c r="J45" s="1007">
        <f>I45/$C$87</f>
        <v/>
      </c>
      <c r="K45" s="272">
        <f>SUM(K36:K43)</f>
        <v/>
      </c>
      <c r="L45" s="1007">
        <f>K45/$C$87</f>
        <v/>
      </c>
      <c r="M45" s="272">
        <f>SUM(M36:M43)</f>
        <v/>
      </c>
      <c r="N45" s="1007">
        <f>M45/$C$87</f>
        <v/>
      </c>
      <c r="O45" s="272">
        <f>+SUM(O36:O43)</f>
        <v/>
      </c>
      <c r="P45" s="1007">
        <f>O45/$C$87</f>
        <v/>
      </c>
      <c r="Q45" s="272">
        <f>SUM(Q36:Q43)</f>
        <v/>
      </c>
      <c r="R45" s="1007">
        <f>Q45/$C$87</f>
        <v/>
      </c>
      <c r="S45" s="272">
        <f>SUM(S36:S43)</f>
        <v/>
      </c>
      <c r="T45" s="1007">
        <f>S45/$C$87</f>
        <v/>
      </c>
    </row>
    <row r="46">
      <c r="E46" s="266" t="n"/>
      <c r="F46" s="263" t="n"/>
      <c r="G46" s="266" t="n"/>
      <c r="H46" s="263" t="n"/>
      <c r="I46" s="266" t="n"/>
      <c r="J46" s="263" t="n"/>
      <c r="K46" s="266" t="n"/>
      <c r="L46" s="263" t="n"/>
      <c r="M46" s="266" t="n"/>
      <c r="N46" s="263" t="n"/>
      <c r="O46" s="266" t="n"/>
      <c r="P46" s="263" t="n"/>
      <c r="Q46" s="266" t="n"/>
      <c r="R46" s="263" t="n"/>
      <c r="S46" s="266" t="n"/>
      <c r="T46" s="263" t="n"/>
    </row>
    <row r="47" ht="15.6" customHeight="1">
      <c r="A47" s="262" t="inlineStr">
        <is>
          <t>3) CARGAS SOCIALES INDIRECTAS</t>
        </is>
      </c>
      <c r="D47" s="269" t="n"/>
      <c r="E47" s="272" t="n"/>
      <c r="F47" s="263" t="n"/>
      <c r="G47" s="272" t="n"/>
      <c r="H47" s="263" t="n"/>
      <c r="I47" s="272" t="n"/>
      <c r="J47" s="263" t="n"/>
      <c r="K47" s="272" t="n"/>
      <c r="L47" s="263" t="n"/>
      <c r="M47" s="272" t="n"/>
      <c r="N47" s="263" t="n"/>
      <c r="O47" s="272" t="n"/>
      <c r="P47" s="263" t="n"/>
      <c r="Q47" s="272" t="n"/>
      <c r="R47" s="263" t="n"/>
      <c r="S47" s="272" t="n"/>
      <c r="T47" s="263" t="n"/>
    </row>
    <row r="48">
      <c r="A48" s="760" t="inlineStr">
        <is>
          <t>Concepto</t>
        </is>
      </c>
      <c r="D48" s="760" t="inlineStr">
        <is>
          <t>VALOR - %</t>
        </is>
      </c>
      <c r="E48" s="266" t="n"/>
      <c r="F48" s="263" t="n"/>
      <c r="G48" s="266" t="n"/>
      <c r="H48" s="263" t="n"/>
      <c r="I48" s="266" t="n"/>
      <c r="J48" s="263" t="n"/>
      <c r="K48" s="266" t="n"/>
      <c r="L48" s="263" t="n"/>
      <c r="M48" s="266" t="n"/>
      <c r="N48" s="263" t="n"/>
      <c r="O48" s="266" t="n"/>
      <c r="P48" s="263" t="n"/>
      <c r="Q48" s="266" t="n"/>
      <c r="R48" s="263" t="n"/>
      <c r="S48" s="266" t="n"/>
      <c r="T48" s="263" t="n"/>
    </row>
    <row r="49">
      <c r="A49" s="574" t="inlineStr">
        <is>
          <t>** Incidencia Sueldo Anual Complementario</t>
        </is>
      </c>
      <c r="D49" s="270" t="n">
        <v>0.0833</v>
      </c>
      <c r="E49" s="274">
        <f>+$D$49*E31</f>
        <v/>
      </c>
      <c r="F49" s="263" t="n"/>
      <c r="G49" s="274">
        <f>+$D$49*G31</f>
        <v/>
      </c>
      <c r="H49" s="263" t="n"/>
      <c r="I49" s="274">
        <f>+$D$49*I31</f>
        <v/>
      </c>
      <c r="J49" s="263" t="n"/>
      <c r="K49" s="274">
        <f>+$D$49*K31</f>
        <v/>
      </c>
      <c r="L49" s="263" t="n"/>
      <c r="M49" s="274">
        <f>+$D$49*M31</f>
        <v/>
      </c>
      <c r="N49" s="263" t="n"/>
      <c r="O49" s="274">
        <f>+$D$49*O31</f>
        <v/>
      </c>
      <c r="P49" s="263" t="n"/>
      <c r="Q49" s="274">
        <f>+$D$49*Q31</f>
        <v/>
      </c>
      <c r="R49" s="263" t="n"/>
      <c r="S49" s="274">
        <f>+$D$49*S31</f>
        <v/>
      </c>
      <c r="T49" s="263" t="n"/>
    </row>
    <row r="50">
      <c r="A50" s="574" t="inlineStr">
        <is>
          <t>** Contribuciones s/S.A.C.</t>
        </is>
      </c>
      <c r="D50" s="270">
        <f>+C45</f>
        <v/>
      </c>
      <c r="E50" s="274">
        <f>+$D$50*E49</f>
        <v/>
      </c>
      <c r="F50" s="263" t="n"/>
      <c r="G50" s="274">
        <f>+$D$50*G49</f>
        <v/>
      </c>
      <c r="H50" s="263" t="n"/>
      <c r="I50" s="274">
        <f>+$D$50*I49</f>
        <v/>
      </c>
      <c r="J50" s="263" t="n"/>
      <c r="K50" s="274">
        <f>+$D$50*K49</f>
        <v/>
      </c>
      <c r="L50" s="263" t="n"/>
      <c r="M50" s="274">
        <f>+$D$50*M49</f>
        <v/>
      </c>
      <c r="N50" s="263" t="n"/>
      <c r="O50" s="274">
        <f>+$D$50*O49</f>
        <v/>
      </c>
      <c r="P50" s="263" t="n"/>
      <c r="Q50" s="274">
        <f>+$D$50*Q49</f>
        <v/>
      </c>
      <c r="R50" s="263" t="n"/>
      <c r="S50" s="274">
        <f>+$D$50*S49</f>
        <v/>
      </c>
      <c r="T50" s="263" t="n"/>
    </row>
    <row r="51" ht="15.6" customHeight="1">
      <c r="A51" s="574" t="inlineStr">
        <is>
          <t>** Ropa de trabajo (VALOR ANUAL/12)</t>
        </is>
      </c>
      <c r="D51" s="1011" t="n">
        <v>0</v>
      </c>
      <c r="E51" s="289">
        <f>+$D$51</f>
        <v/>
      </c>
      <c r="F51" s="263" t="n"/>
      <c r="G51" s="289">
        <f>+$D$51</f>
        <v/>
      </c>
      <c r="H51" s="263" t="n"/>
      <c r="I51" s="289">
        <f>+E51</f>
        <v/>
      </c>
      <c r="J51" s="263" t="n"/>
      <c r="K51" s="289">
        <f>+E51</f>
        <v/>
      </c>
      <c r="L51" s="263" t="n"/>
      <c r="M51" s="289">
        <f>+E51</f>
        <v/>
      </c>
      <c r="N51" s="263" t="n"/>
      <c r="O51" s="289">
        <f>+$D$51</f>
        <v/>
      </c>
      <c r="P51" s="263" t="n"/>
      <c r="Q51" s="289">
        <f>+O51</f>
        <v/>
      </c>
      <c r="R51" s="263" t="n"/>
      <c r="S51" s="289">
        <f>+O51</f>
        <v/>
      </c>
      <c r="T51" s="263" t="n"/>
    </row>
    <row r="52">
      <c r="A52" s="574" t="inlineStr">
        <is>
          <t>** Incidencia proporc. Vacaciones</t>
        </is>
      </c>
      <c r="B52" s="580" t="n"/>
      <c r="D52" s="270">
        <f>4.67%</f>
        <v/>
      </c>
      <c r="E52" s="274">
        <f>+$D$52*E31</f>
        <v/>
      </c>
      <c r="F52" s="263" t="n"/>
      <c r="G52" s="274">
        <f>+$D$52*G31</f>
        <v/>
      </c>
      <c r="H52" s="263" t="n"/>
      <c r="I52" s="274">
        <f>+$D$52*I31</f>
        <v/>
      </c>
      <c r="J52" s="263" t="n"/>
      <c r="K52" s="274">
        <f>+$D$52*K31</f>
        <v/>
      </c>
      <c r="L52" s="263" t="n"/>
      <c r="M52" s="274">
        <f>+$D$52*M31</f>
        <v/>
      </c>
      <c r="N52" s="263" t="n"/>
      <c r="O52" s="274">
        <f>+$D$52*O31</f>
        <v/>
      </c>
      <c r="P52" s="263" t="n"/>
      <c r="Q52" s="274">
        <f>+$D$52*Q31</f>
        <v/>
      </c>
      <c r="R52" s="263" t="n"/>
      <c r="S52" s="274">
        <f>+$D$52*S31</f>
        <v/>
      </c>
      <c r="T52" s="263" t="n"/>
    </row>
    <row r="53">
      <c r="A53" s="574" t="inlineStr">
        <is>
          <t>** Contribuciones s/Vacaciones</t>
        </is>
      </c>
      <c r="D53" s="270">
        <f>+D50</f>
        <v/>
      </c>
      <c r="E53" s="274">
        <f>+$D$53*E52</f>
        <v/>
      </c>
      <c r="F53" s="263" t="n"/>
      <c r="G53" s="274">
        <f>+$D$53*G52</f>
        <v/>
      </c>
      <c r="H53" s="263" t="n"/>
      <c r="I53" s="274">
        <f>+$D$53*I52</f>
        <v/>
      </c>
      <c r="J53" s="263" t="n"/>
      <c r="K53" s="274">
        <f>+$D$53*K52</f>
        <v/>
      </c>
      <c r="L53" s="263" t="n"/>
      <c r="M53" s="274">
        <f>+$D$53*M52</f>
        <v/>
      </c>
      <c r="N53" s="263" t="n"/>
      <c r="O53" s="274">
        <f>+$D$53*O52</f>
        <v/>
      </c>
      <c r="P53" s="263" t="n"/>
      <c r="Q53" s="274">
        <f>+$D$53*Q52</f>
        <v/>
      </c>
      <c r="R53" s="263" t="n"/>
      <c r="S53" s="274">
        <f>+$D$53*S52</f>
        <v/>
      </c>
      <c r="T53" s="263" t="n"/>
    </row>
    <row r="54">
      <c r="A54" s="574" t="inlineStr">
        <is>
          <t>** APORTE SINDICAL</t>
        </is>
      </c>
      <c r="D54" s="270" t="n">
        <v>0</v>
      </c>
      <c r="E54" s="291">
        <f>+$D$54*E31</f>
        <v/>
      </c>
      <c r="F54" s="263" t="n"/>
      <c r="G54" s="291">
        <f>+$D$54*G31</f>
        <v/>
      </c>
      <c r="H54" s="263" t="n"/>
      <c r="I54" s="291">
        <f>+$D$54*I31</f>
        <v/>
      </c>
      <c r="J54" s="263" t="n"/>
      <c r="K54" s="291">
        <f>+$D$54*K31</f>
        <v/>
      </c>
      <c r="L54" s="263" t="n"/>
      <c r="M54" s="291">
        <f>+$D$54*M31</f>
        <v/>
      </c>
      <c r="N54" s="263" t="n"/>
      <c r="O54" s="291">
        <f>+$D$54*O31</f>
        <v/>
      </c>
      <c r="P54" s="263" t="n"/>
      <c r="Q54" s="291">
        <f>+$D$54*Q31</f>
        <v/>
      </c>
      <c r="R54" s="263" t="n"/>
      <c r="S54" s="291">
        <f>+$D$54*S31</f>
        <v/>
      </c>
      <c r="T54" s="263" t="n"/>
    </row>
    <row r="55">
      <c r="A55" s="574" t="inlineStr">
        <is>
          <t>** Previsión Despido</t>
        </is>
      </c>
      <c r="D55" s="270" t="n">
        <v>0.0833</v>
      </c>
      <c r="E55" s="274">
        <f>+$D$55*E31</f>
        <v/>
      </c>
      <c r="F55" s="263" t="n"/>
      <c r="G55" s="274">
        <f>+$D$55*G31</f>
        <v/>
      </c>
      <c r="H55" s="263" t="n"/>
      <c r="I55" s="274">
        <f>+$D$55*I31</f>
        <v/>
      </c>
      <c r="J55" s="263" t="n"/>
      <c r="K55" s="274">
        <f>+$D$55*K31</f>
        <v/>
      </c>
      <c r="L55" s="263" t="n"/>
      <c r="M55" s="274">
        <f>+$D$55*M31</f>
        <v/>
      </c>
      <c r="N55" s="263" t="n"/>
      <c r="O55" s="274">
        <f>+$D$55*O31</f>
        <v/>
      </c>
      <c r="P55" s="263" t="n"/>
      <c r="Q55" s="274">
        <f>+$D$55*Q31</f>
        <v/>
      </c>
      <c r="R55" s="263" t="n"/>
      <c r="S55" s="274">
        <f>+$D$55*S31</f>
        <v/>
      </c>
      <c r="T55" s="263" t="n"/>
    </row>
    <row r="56" customFormat="1" s="471">
      <c r="A56" s="475" t="inlineStr">
        <is>
          <t>** Previsión Ausentismo</t>
        </is>
      </c>
      <c r="D56" s="472" t="n">
        <v>0.05</v>
      </c>
      <c r="E56" s="473">
        <f>+$D$56*E31</f>
        <v/>
      </c>
      <c r="F56" s="474" t="n"/>
      <c r="G56" s="473">
        <f>+$D$56*G31</f>
        <v/>
      </c>
      <c r="H56" s="474" t="n"/>
      <c r="I56" s="473">
        <f>+$D$56*I31</f>
        <v/>
      </c>
      <c r="J56" s="474" t="n"/>
      <c r="K56" s="473">
        <f>+$D$56*K31</f>
        <v/>
      </c>
      <c r="L56" s="474" t="n"/>
      <c r="M56" s="473">
        <f>+$D$56*M31</f>
        <v/>
      </c>
      <c r="N56" s="474" t="n"/>
      <c r="O56" s="473">
        <f>+$D$56*O31</f>
        <v/>
      </c>
      <c r="P56" s="474" t="n"/>
      <c r="Q56" s="473">
        <f>+$D$56*Q31</f>
        <v/>
      </c>
      <c r="R56" s="474" t="n"/>
      <c r="S56" s="473">
        <f>+$D$56*S31</f>
        <v/>
      </c>
      <c r="T56" s="474" t="n"/>
    </row>
    <row r="57">
      <c r="A57" s="574" t="inlineStr">
        <is>
          <t>** Subsidio Fallecimiento</t>
        </is>
      </c>
      <c r="D57" s="270" t="n">
        <v>0</v>
      </c>
      <c r="E57" s="274">
        <f>+$D$57*E31</f>
        <v/>
      </c>
      <c r="F57" s="263" t="n"/>
      <c r="G57" s="274">
        <f>+$D$57*G31</f>
        <v/>
      </c>
      <c r="H57" s="263" t="n"/>
      <c r="I57" s="274">
        <f>+$D$57*I31</f>
        <v/>
      </c>
      <c r="J57" s="263" t="n"/>
      <c r="K57" s="274">
        <f>+$D$57*K31</f>
        <v/>
      </c>
      <c r="L57" s="263" t="n"/>
      <c r="M57" s="274">
        <f>+$D$57*M31</f>
        <v/>
      </c>
      <c r="N57" s="263" t="n"/>
      <c r="O57" s="274">
        <f>+$D$57*O31</f>
        <v/>
      </c>
      <c r="P57" s="263" t="n"/>
      <c r="Q57" s="274">
        <f>+$D$57*Q31</f>
        <v/>
      </c>
      <c r="R57" s="263" t="n"/>
      <c r="S57" s="274">
        <f>+$D$57*S31</f>
        <v/>
      </c>
      <c r="T57" s="263" t="n"/>
    </row>
    <row r="58">
      <c r="A58" s="574" t="inlineStr">
        <is>
          <t>** Servicio Medico de Emergencias</t>
        </is>
      </c>
      <c r="D58" s="270" t="n">
        <v>0</v>
      </c>
      <c r="E58" s="274">
        <f>+$D$58*E31</f>
        <v/>
      </c>
      <c r="F58" s="263" t="n"/>
      <c r="G58" s="274">
        <f>+$D$58*G31</f>
        <v/>
      </c>
      <c r="H58" s="263" t="n"/>
      <c r="I58" s="274">
        <f>+$D$58*I31</f>
        <v/>
      </c>
      <c r="J58" s="263" t="n"/>
      <c r="K58" s="274">
        <f>+$D$58*K31</f>
        <v/>
      </c>
      <c r="L58" s="263" t="n"/>
      <c r="M58" s="274">
        <f>+$D$58*M31</f>
        <v/>
      </c>
      <c r="N58" s="263" t="n"/>
      <c r="O58" s="274">
        <f>+$D$58*O31</f>
        <v/>
      </c>
      <c r="P58" s="263" t="n"/>
      <c r="Q58" s="274">
        <f>+$D$58*Q31</f>
        <v/>
      </c>
      <c r="R58" s="263" t="n"/>
      <c r="S58" s="274">
        <f>+$D$58*S31</f>
        <v/>
      </c>
      <c r="T58" s="263" t="n"/>
    </row>
    <row r="59" ht="15.6" customHeight="1">
      <c r="A59" s="574" t="inlineStr">
        <is>
          <t>** Examenes de Ingreso y Homologación</t>
        </is>
      </c>
      <c r="D59" s="1011" t="n">
        <v>100000</v>
      </c>
      <c r="E59" s="274">
        <f>+$D$59/12</f>
        <v/>
      </c>
      <c r="F59" s="263" t="n"/>
      <c r="G59" s="274">
        <f>+$D$59/12</f>
        <v/>
      </c>
      <c r="H59" s="263" t="n"/>
      <c r="I59" s="274">
        <f>+$D$59/12</f>
        <v/>
      </c>
      <c r="J59" s="263" t="n"/>
      <c r="K59" s="274">
        <f>+$D$59/12</f>
        <v/>
      </c>
      <c r="L59" s="263" t="n"/>
      <c r="M59" s="274">
        <f>+$D$59/12</f>
        <v/>
      </c>
      <c r="N59" s="263" t="n"/>
      <c r="O59" s="274">
        <f>+$D$59/12</f>
        <v/>
      </c>
      <c r="P59" s="263" t="n"/>
      <c r="Q59" s="274">
        <f>+$D$59/12</f>
        <v/>
      </c>
      <c r="R59" s="263" t="n"/>
      <c r="S59" s="274">
        <f>+$D$59/12</f>
        <v/>
      </c>
      <c r="T59" s="263" t="n"/>
    </row>
    <row r="60" customFormat="1" s="471">
      <c r="A60" s="475" t="inlineStr">
        <is>
          <t>** Previsión No cobranza</t>
        </is>
      </c>
      <c r="D60" s="472" t="n"/>
      <c r="E60" s="473">
        <f>+$D$60*E31</f>
        <v/>
      </c>
      <c r="F60" s="474" t="n"/>
      <c r="G60" s="473">
        <f>+$D$60*G31</f>
        <v/>
      </c>
      <c r="H60" s="474" t="n"/>
      <c r="I60" s="473">
        <f>+$D$60*I31</f>
        <v/>
      </c>
      <c r="J60" s="474" t="n"/>
      <c r="K60" s="473">
        <f>+$D$60*K31</f>
        <v/>
      </c>
      <c r="L60" s="474" t="n"/>
      <c r="M60" s="473">
        <f>+$D$60*M31</f>
        <v/>
      </c>
      <c r="N60" s="474" t="n"/>
      <c r="O60" s="473">
        <f>+$D$60*O31</f>
        <v/>
      </c>
      <c r="P60" s="474" t="n"/>
      <c r="Q60" s="473">
        <f>+$D$60*Q31</f>
        <v/>
      </c>
      <c r="R60" s="474" t="n"/>
      <c r="S60" s="473">
        <f>+$D$60*S31</f>
        <v/>
      </c>
      <c r="T60" s="474" t="n"/>
    </row>
    <row r="61">
      <c r="A61" s="574" t="inlineStr">
        <is>
          <t>** Capacitación</t>
        </is>
      </c>
      <c r="D61" s="270" t="n"/>
      <c r="E61" s="274">
        <f>+$D$61*E31</f>
        <v/>
      </c>
      <c r="F61" s="263" t="n"/>
      <c r="G61" s="274">
        <f>+$D$61*G31</f>
        <v/>
      </c>
      <c r="H61" s="263" t="n"/>
      <c r="I61" s="274">
        <f>+$D$61*I31</f>
        <v/>
      </c>
      <c r="J61" s="263" t="n"/>
      <c r="K61" s="274">
        <f>+$D$61*K31</f>
        <v/>
      </c>
      <c r="L61" s="263" t="n"/>
      <c r="M61" s="274">
        <f>+$D$61*M31</f>
        <v/>
      </c>
      <c r="N61" s="263" t="n"/>
      <c r="O61" s="274">
        <f>+$D$61*O31</f>
        <v/>
      </c>
      <c r="P61" s="263" t="n"/>
      <c r="Q61" s="274">
        <f>+$D$61*Q31</f>
        <v/>
      </c>
      <c r="R61" s="263" t="n"/>
      <c r="S61" s="274">
        <f>+$D$61*S31</f>
        <v/>
      </c>
      <c r="T61" s="263" t="n"/>
    </row>
    <row r="62" customFormat="1" s="471">
      <c r="A62" s="475" t="inlineStr">
        <is>
          <t>** Previsión Delegados</t>
        </is>
      </c>
      <c r="B62" s="1012" t="n"/>
      <c r="D62" s="472" t="n">
        <v>0.02</v>
      </c>
      <c r="E62" s="473">
        <f>+$D$62*E31</f>
        <v/>
      </c>
      <c r="F62" s="474" t="n"/>
      <c r="G62" s="473">
        <f>+$D$62*G31</f>
        <v/>
      </c>
      <c r="H62" s="474" t="n"/>
      <c r="I62" s="473">
        <f>+$D$62*I31</f>
        <v/>
      </c>
      <c r="J62" s="474" t="n"/>
      <c r="K62" s="473">
        <f>+$D$62*K31</f>
        <v/>
      </c>
      <c r="L62" s="474" t="n"/>
      <c r="M62" s="473">
        <f>+$D$62*M31</f>
        <v/>
      </c>
      <c r="N62" s="474" t="n"/>
      <c r="O62" s="473">
        <f>+$D$62*O31</f>
        <v/>
      </c>
      <c r="P62" s="474" t="n"/>
      <c r="Q62" s="473">
        <f>+$D$62*Q31</f>
        <v/>
      </c>
      <c r="R62" s="474" t="n"/>
      <c r="S62" s="473">
        <f>+$D$62*S31</f>
        <v/>
      </c>
      <c r="T62" s="474" t="n"/>
    </row>
    <row r="63" ht="15.6" customHeight="1">
      <c r="A63" s="574" t="inlineStr">
        <is>
          <t>** Previsión Atenciones al Personal</t>
        </is>
      </c>
      <c r="B63" s="580">
        <f>+B62/(E31-E29)</f>
        <v/>
      </c>
      <c r="D63" s="1011">
        <f>D59/2</f>
        <v/>
      </c>
      <c r="E63" s="274">
        <f>+$D$59/12/3</f>
        <v/>
      </c>
      <c r="F63" s="263" t="n"/>
      <c r="G63" s="274">
        <f>+$D$59/12/3</f>
        <v/>
      </c>
      <c r="H63" s="263" t="n"/>
      <c r="I63" s="274">
        <f>+$D$59/12/3</f>
        <v/>
      </c>
      <c r="J63" s="263" t="n"/>
      <c r="K63" s="274">
        <f>+$D$59/12/3</f>
        <v/>
      </c>
      <c r="L63" s="263" t="n"/>
      <c r="M63" s="274">
        <f>+$D$59/12/3</f>
        <v/>
      </c>
      <c r="N63" s="263" t="n"/>
      <c r="O63" s="274">
        <f>+$D$59/12/3</f>
        <v/>
      </c>
      <c r="P63" s="263" t="n"/>
      <c r="Q63" s="274">
        <f>+$D$59/12/3</f>
        <v/>
      </c>
      <c r="R63" s="263" t="n"/>
      <c r="S63" s="274">
        <f>+$D$59/12/3</f>
        <v/>
      </c>
      <c r="T63" s="263" t="n"/>
    </row>
    <row r="64" ht="15.6" customHeight="1">
      <c r="A64" s="574" t="inlineStr">
        <is>
          <t>**SEGURO DE VIDA UOM</t>
        </is>
      </c>
      <c r="D64" s="1011" t="n">
        <v>20000</v>
      </c>
      <c r="E64" s="274">
        <f>+$D$64</f>
        <v/>
      </c>
      <c r="F64" s="263" t="n"/>
      <c r="G64" s="274">
        <f>+$D$64</f>
        <v/>
      </c>
      <c r="H64" s="263" t="n"/>
      <c r="I64" s="274">
        <f>+E64</f>
        <v/>
      </c>
      <c r="J64" s="263" t="n"/>
      <c r="K64" s="274">
        <f>+I64</f>
        <v/>
      </c>
      <c r="L64" s="263" t="n"/>
      <c r="M64" s="274">
        <f>+K64</f>
        <v/>
      </c>
      <c r="N64" s="263" t="n"/>
      <c r="O64" s="274">
        <f>+M64</f>
        <v/>
      </c>
      <c r="P64" s="263" t="n"/>
      <c r="Q64" s="274">
        <f>+O64</f>
        <v/>
      </c>
      <c r="R64" s="263" t="n"/>
      <c r="S64" s="274">
        <f>+Q64</f>
        <v/>
      </c>
      <c r="T64" s="263" t="n"/>
    </row>
    <row r="65" ht="15.6" customHeight="1" thickBot="1">
      <c r="A65" s="574" t="inlineStr">
        <is>
          <t>** Previsión Perdidas Logisticas de la MONO DE OBRA en Operación</t>
        </is>
      </c>
      <c r="D65" s="270" t="n">
        <v>0</v>
      </c>
      <c r="E65" s="290">
        <f>+$D$65*E31</f>
        <v/>
      </c>
      <c r="F65" s="263" t="n"/>
      <c r="G65" s="290">
        <f>+$D$65*G31</f>
        <v/>
      </c>
      <c r="H65" s="263" t="n"/>
      <c r="I65" s="290">
        <f>+$D$65*I31</f>
        <v/>
      </c>
      <c r="J65" s="263" t="n"/>
      <c r="K65" s="290">
        <f>+$D$65*K31</f>
        <v/>
      </c>
      <c r="L65" s="263" t="n"/>
      <c r="M65" s="290">
        <f>+$D$65*M31</f>
        <v/>
      </c>
      <c r="N65" s="263" t="n"/>
      <c r="O65" s="290">
        <f>+$D$65*O31</f>
        <v/>
      </c>
      <c r="P65" s="263" t="n"/>
      <c r="Q65" s="290">
        <f>+$D$65*Q31</f>
        <v/>
      </c>
      <c r="R65" s="263" t="n"/>
      <c r="S65" s="290">
        <f>+$D$65*S31</f>
        <v/>
      </c>
      <c r="T65" s="263" t="n"/>
    </row>
    <row r="66">
      <c r="E66" s="266" t="n"/>
      <c r="F66" s="263" t="n"/>
      <c r="G66" s="266" t="n"/>
      <c r="H66" s="263" t="n"/>
      <c r="I66" s="266" t="n"/>
      <c r="J66" s="263" t="n"/>
      <c r="K66" s="266" t="n"/>
      <c r="L66" s="263" t="n"/>
      <c r="M66" s="266" t="n"/>
      <c r="N66" s="263" t="n"/>
      <c r="O66" s="266" t="n"/>
      <c r="P66" s="263" t="n"/>
      <c r="Q66" s="266" t="n"/>
      <c r="R66" s="263" t="n"/>
      <c r="S66" s="266" t="n"/>
      <c r="T66" s="263" t="n"/>
    </row>
    <row r="67" ht="15.6" customHeight="1">
      <c r="B67" s="267" t="inlineStr">
        <is>
          <t>Sub - Total</t>
        </is>
      </c>
      <c r="D67" s="271">
        <f>+E67/$E$31</f>
        <v/>
      </c>
      <c r="E67" s="272">
        <f>SUM(E49:E65)</f>
        <v/>
      </c>
      <c r="F67" s="1007">
        <f>E67/$C$87</f>
        <v/>
      </c>
      <c r="G67" s="272">
        <f>SUM(G49:G65)</f>
        <v/>
      </c>
      <c r="H67" s="1007">
        <f>G67/$C$87</f>
        <v/>
      </c>
      <c r="I67" s="272">
        <f>SUM(I49:I65)</f>
        <v/>
      </c>
      <c r="J67" s="1007">
        <f>I67/$C$87</f>
        <v/>
      </c>
      <c r="K67" s="272">
        <f>SUM(K49:K65)</f>
        <v/>
      </c>
      <c r="L67" s="1007">
        <f>K67/$C$87</f>
        <v/>
      </c>
      <c r="M67" s="272">
        <f>SUM(M49:M65)</f>
        <v/>
      </c>
      <c r="N67" s="1007">
        <f>M67/$C$87</f>
        <v/>
      </c>
      <c r="O67" s="272">
        <f>SUM(O49:O65)</f>
        <v/>
      </c>
      <c r="P67" s="1007">
        <f>O67/$C$87</f>
        <v/>
      </c>
      <c r="Q67" s="272">
        <f>SUM(Q49:Q65)</f>
        <v/>
      </c>
      <c r="R67" s="1007">
        <f>Q67/$C$87</f>
        <v/>
      </c>
      <c r="S67" s="272">
        <f>SUM(S49:S65)</f>
        <v/>
      </c>
      <c r="T67" s="1007">
        <f>S67/$C$87</f>
        <v/>
      </c>
    </row>
    <row r="68">
      <c r="E68" s="266" t="n"/>
      <c r="F68" s="263" t="n"/>
      <c r="G68" s="266" t="n"/>
      <c r="H68" s="263" t="n"/>
      <c r="I68" s="266" t="n"/>
      <c r="J68" s="263" t="n"/>
      <c r="K68" s="266" t="n"/>
      <c r="L68" s="263" t="n"/>
      <c r="M68" s="266" t="n"/>
      <c r="N68" s="263" t="n"/>
      <c r="O68" s="266" t="n"/>
      <c r="P68" s="263" t="n"/>
      <c r="Q68" s="266" t="n"/>
      <c r="R68" s="263" t="n"/>
      <c r="S68" s="266" t="n"/>
      <c r="T68" s="263" t="n"/>
    </row>
    <row r="69" ht="15.6" customHeight="1">
      <c r="A69" s="262" t="inlineStr">
        <is>
          <t>4) A.R.T. Y SEGURO DE VIDA OBLIGATORIO</t>
        </is>
      </c>
      <c r="D69" s="269" t="n"/>
      <c r="E69" s="266" t="n"/>
      <c r="F69" s="263" t="n"/>
      <c r="G69" s="266" t="n"/>
      <c r="H69" s="263" t="n"/>
      <c r="I69" s="266" t="n"/>
      <c r="J69" s="263" t="n"/>
      <c r="K69" s="266" t="n"/>
      <c r="L69" s="263" t="n"/>
      <c r="M69" s="266" t="n"/>
      <c r="N69" s="263" t="n"/>
      <c r="O69" s="266" t="n"/>
      <c r="P69" s="263" t="n"/>
      <c r="Q69" s="266" t="n"/>
      <c r="R69" s="263" t="n"/>
      <c r="S69" s="266" t="n"/>
      <c r="T69" s="263" t="n"/>
    </row>
    <row r="70">
      <c r="A70" s="760" t="inlineStr">
        <is>
          <t>Concepto</t>
        </is>
      </c>
      <c r="D70" s="760" t="inlineStr">
        <is>
          <t>VALOR - %</t>
        </is>
      </c>
      <c r="E70" s="264" t="n"/>
      <c r="F70" s="263" t="n"/>
      <c r="G70" s="264" t="n"/>
      <c r="H70" s="263" t="n"/>
      <c r="I70" s="264" t="n"/>
      <c r="J70" s="263" t="n"/>
      <c r="K70" s="264" t="n"/>
      <c r="L70" s="263" t="n"/>
      <c r="M70" s="264" t="n"/>
      <c r="N70" s="263" t="n"/>
      <c r="O70" s="264" t="n"/>
      <c r="P70" s="263" t="n"/>
      <c r="Q70" s="264" t="n"/>
      <c r="R70" s="263" t="n"/>
      <c r="S70" s="264" t="n"/>
      <c r="T70" s="263" t="n"/>
    </row>
    <row r="71">
      <c r="E71" s="266" t="n"/>
      <c r="F71" s="263" t="n"/>
      <c r="G71" s="266" t="n"/>
      <c r="H71" s="263" t="n"/>
      <c r="I71" s="266" t="n"/>
      <c r="J71" s="263" t="n"/>
      <c r="K71" s="266" t="n"/>
      <c r="L71" s="263" t="n"/>
      <c r="M71" s="266" t="n"/>
      <c r="N71" s="263" t="n"/>
      <c r="O71" s="266" t="n"/>
      <c r="P71" s="263" t="n"/>
      <c r="Q71" s="266" t="n"/>
      <c r="R71" s="263" t="n"/>
      <c r="S71" s="266" t="n"/>
      <c r="T71" s="263" t="n"/>
    </row>
    <row r="72" ht="15.6" customHeight="1">
      <c r="A72" s="574" t="inlineStr">
        <is>
          <t>** Asignación fija ART</t>
        </is>
      </c>
      <c r="B72" s="574" t="n"/>
      <c r="C72" s="574" t="n"/>
      <c r="D72" s="1013" t="n">
        <v>1000</v>
      </c>
      <c r="E72" s="274">
        <f>+D72</f>
        <v/>
      </c>
      <c r="F72" s="273" t="n"/>
      <c r="G72" s="274">
        <f>+F72</f>
        <v/>
      </c>
      <c r="H72" s="273" t="n"/>
      <c r="I72" s="274">
        <f>+D72</f>
        <v/>
      </c>
      <c r="J72" s="273" t="n"/>
      <c r="K72" s="274">
        <f>+I72</f>
        <v/>
      </c>
      <c r="L72" s="273" t="n"/>
      <c r="M72" s="274">
        <f>+K72</f>
        <v/>
      </c>
      <c r="N72" s="273" t="n"/>
      <c r="O72" s="274">
        <f>+N72</f>
        <v/>
      </c>
      <c r="P72" s="273" t="n"/>
      <c r="Q72" s="274">
        <f>+N72</f>
        <v/>
      </c>
      <c r="R72" s="273" t="n"/>
      <c r="S72" s="274">
        <f>+Q72</f>
        <v/>
      </c>
      <c r="T72" s="273" t="n"/>
    </row>
    <row r="73">
      <c r="A73" s="574" t="inlineStr">
        <is>
          <t>** Asignación variable ART</t>
        </is>
      </c>
      <c r="D73" s="582" t="n">
        <v>0.042</v>
      </c>
      <c r="E73" s="274">
        <f>+(E31+E49+E52)*$D$73</f>
        <v/>
      </c>
      <c r="F73" s="263" t="n"/>
      <c r="G73" s="274">
        <f>+(G31+G49+G52)*$D$73</f>
        <v/>
      </c>
      <c r="H73" s="263" t="n"/>
      <c r="I73" s="274">
        <f>+(I31+I49+I52)*$D$73</f>
        <v/>
      </c>
      <c r="J73" s="263" t="n"/>
      <c r="K73" s="274">
        <f>+(K31+K49+K52)*$D$73</f>
        <v/>
      </c>
      <c r="L73" s="263" t="n"/>
      <c r="M73" s="274">
        <f>+(M31+M49+M52)*$D$73</f>
        <v/>
      </c>
      <c r="N73" s="263" t="n"/>
      <c r="O73" s="274">
        <f>+(O31+O49+O52)*$D$73</f>
        <v/>
      </c>
      <c r="P73" s="263" t="n"/>
      <c r="Q73" s="274">
        <f>+(Q31+Q49+Q52)*$D$73</f>
        <v/>
      </c>
      <c r="R73" s="263" t="n"/>
      <c r="S73" s="274">
        <f>+(S31+S49+S52)*$D$73</f>
        <v/>
      </c>
      <c r="T73" s="263" t="n"/>
    </row>
    <row r="74" ht="15.6" customHeight="1" thickBot="1">
      <c r="A74" s="574" t="inlineStr">
        <is>
          <t>** Seguro de vida obligatorio</t>
        </is>
      </c>
      <c r="B74" s="574" t="n"/>
      <c r="C74" s="574" t="n"/>
      <c r="D74" s="1013" t="n">
        <v>1000</v>
      </c>
      <c r="E74" s="275">
        <f>+D74</f>
        <v/>
      </c>
      <c r="F74" s="263" t="n"/>
      <c r="G74" s="275">
        <f>+F74</f>
        <v/>
      </c>
      <c r="H74" s="263" t="n"/>
      <c r="I74" s="275">
        <f>+D74</f>
        <v/>
      </c>
      <c r="J74" s="263" t="n"/>
      <c r="K74" s="275">
        <f>+I74</f>
        <v/>
      </c>
      <c r="L74" s="263" t="n"/>
      <c r="M74" s="275">
        <f>+K74</f>
        <v/>
      </c>
      <c r="N74" s="263" t="n"/>
      <c r="O74" s="275">
        <f>+N74</f>
        <v/>
      </c>
      <c r="P74" s="263" t="n"/>
      <c r="Q74" s="275">
        <f>+N74</f>
        <v/>
      </c>
      <c r="R74" s="263" t="n"/>
      <c r="S74" s="275">
        <f>+Q74</f>
        <v/>
      </c>
      <c r="T74" s="263" t="n"/>
    </row>
    <row r="75">
      <c r="E75" s="266" t="n"/>
      <c r="F75" s="263" t="n"/>
      <c r="G75" s="266" t="n"/>
      <c r="H75" s="263" t="n"/>
      <c r="I75" s="266" t="n"/>
      <c r="J75" s="263" t="n"/>
      <c r="K75" s="266" t="n"/>
      <c r="L75" s="263" t="n"/>
      <c r="M75" s="266" t="n"/>
      <c r="N75" s="263" t="n"/>
      <c r="O75" s="266" t="n"/>
      <c r="P75" s="263" t="n"/>
      <c r="Q75" s="266" t="n"/>
      <c r="R75" s="263" t="n"/>
      <c r="S75" s="266" t="n"/>
      <c r="T75" s="263" t="n"/>
    </row>
    <row r="76" ht="15.6" customHeight="1">
      <c r="B76" s="267" t="inlineStr">
        <is>
          <t>Sub - Total</t>
        </is>
      </c>
      <c r="D76" s="271">
        <f>+E76/E31</f>
        <v/>
      </c>
      <c r="E76" s="276">
        <f>SUM(E72:E74)</f>
        <v/>
      </c>
      <c r="F76" s="1007">
        <f>E76/$C$87</f>
        <v/>
      </c>
      <c r="G76" s="276">
        <f>SUM(G72:G74)</f>
        <v/>
      </c>
      <c r="H76" s="1007">
        <f>G76/$C$87</f>
        <v/>
      </c>
      <c r="I76" s="276">
        <f>SUM(I72:I74)</f>
        <v/>
      </c>
      <c r="J76" s="1007">
        <f>I76/$C$87</f>
        <v/>
      </c>
      <c r="K76" s="276">
        <f>SUM(K72:K74)</f>
        <v/>
      </c>
      <c r="L76" s="1007">
        <f>K76/$C$87</f>
        <v/>
      </c>
      <c r="M76" s="276">
        <f>SUM(M72:M74)</f>
        <v/>
      </c>
      <c r="N76" s="1007">
        <f>M76/$C$87</f>
        <v/>
      </c>
      <c r="O76" s="276">
        <f>SUM(O72:O74)</f>
        <v/>
      </c>
      <c r="P76" s="1007">
        <f>O76/$C$87</f>
        <v/>
      </c>
      <c r="Q76" s="276">
        <f>SUM(Q72:Q74)</f>
        <v/>
      </c>
      <c r="R76" s="1007">
        <f>Q76/$C$87</f>
        <v/>
      </c>
      <c r="S76" s="276">
        <f>SUM(S72:S74)</f>
        <v/>
      </c>
      <c r="T76" s="1007">
        <f>S76/$C$87</f>
        <v/>
      </c>
    </row>
    <row r="77">
      <c r="E77" s="266" t="n"/>
      <c r="F77" s="263" t="n"/>
      <c r="G77" s="266" t="n"/>
      <c r="H77" s="263" t="n"/>
      <c r="I77" s="266" t="n"/>
      <c r="J77" s="263" t="n"/>
      <c r="K77" s="266" t="n"/>
      <c r="L77" s="263" t="n"/>
      <c r="M77" s="266" t="n"/>
      <c r="N77" s="263" t="n"/>
      <c r="O77" s="266" t="n"/>
      <c r="P77" s="263" t="n"/>
      <c r="Q77" s="266" t="n"/>
      <c r="R77" s="263" t="n"/>
      <c r="S77" s="266" t="n"/>
      <c r="T77" s="263" t="n"/>
    </row>
    <row r="78" ht="15.6" customHeight="1">
      <c r="A78" s="262" t="inlineStr">
        <is>
          <t>5) GASTOS DE MOVILIDAD Y REFRIGERIO</t>
        </is>
      </c>
      <c r="E78" s="266" t="n"/>
      <c r="F78" s="263" t="n"/>
      <c r="G78" s="266" t="n"/>
      <c r="H78" s="263" t="n"/>
      <c r="I78" s="266" t="n"/>
      <c r="J78" s="263" t="n"/>
      <c r="K78" s="266" t="n"/>
      <c r="L78" s="263" t="n"/>
      <c r="M78" s="266" t="n"/>
      <c r="N78" s="263" t="n"/>
      <c r="O78" s="266" t="n"/>
      <c r="P78" s="263" t="n"/>
      <c r="Q78" s="266" t="n"/>
      <c r="R78" s="263" t="n"/>
      <c r="S78" s="266" t="n"/>
      <c r="T78" s="263" t="n"/>
    </row>
    <row r="79">
      <c r="E79" s="266" t="n"/>
      <c r="F79" s="263" t="n"/>
      <c r="G79" s="266" t="n"/>
      <c r="H79" s="263" t="n"/>
      <c r="I79" s="266" t="n"/>
      <c r="J79" s="263" t="n"/>
      <c r="K79" s="266" t="n"/>
      <c r="L79" s="263" t="n"/>
      <c r="M79" s="266" t="n"/>
      <c r="N79" s="263" t="n"/>
      <c r="O79" s="266" t="n"/>
      <c r="P79" s="263" t="n"/>
      <c r="Q79" s="266" t="n"/>
      <c r="R79" s="263" t="n"/>
      <c r="S79" s="266" t="n"/>
      <c r="T79" s="263" t="n"/>
    </row>
    <row r="80" ht="15.6" customHeight="1">
      <c r="A80" s="574" t="inlineStr">
        <is>
          <t>** Trasporte</t>
        </is>
      </c>
      <c r="D80" s="1011" t="n">
        <v>0</v>
      </c>
      <c r="E80" s="266" t="n"/>
      <c r="F80" s="1014">
        <f>+D80/C87</f>
        <v/>
      </c>
      <c r="G80" s="266" t="n"/>
      <c r="H80" s="1014">
        <f>+F80/C87</f>
        <v/>
      </c>
      <c r="I80" s="266" t="n"/>
      <c r="J80" s="1014">
        <f>+F80</f>
        <v/>
      </c>
      <c r="K80" s="266" t="n"/>
      <c r="L80" s="1014">
        <f>+J80</f>
        <v/>
      </c>
      <c r="M80" s="266" t="n"/>
      <c r="N80" s="1014">
        <f>+L80</f>
        <v/>
      </c>
      <c r="O80" s="266" t="n"/>
      <c r="P80" s="1014">
        <f>+N80</f>
        <v/>
      </c>
      <c r="Q80" s="266" t="n"/>
      <c r="R80" s="1014">
        <f>+P80</f>
        <v/>
      </c>
      <c r="S80" s="266" t="n"/>
      <c r="T80" s="1014">
        <f>+R80</f>
        <v/>
      </c>
    </row>
    <row r="81" ht="15.6" customHeight="1">
      <c r="A81" s="574" t="inlineStr">
        <is>
          <t>** Comida</t>
        </is>
      </c>
      <c r="D81" s="1011" t="n">
        <v>0</v>
      </c>
      <c r="E81" s="266" t="n"/>
      <c r="F81" s="1014">
        <f>+D81/C87</f>
        <v/>
      </c>
      <c r="G81" s="266" t="n"/>
      <c r="H81" s="1014">
        <f>+F81/C87</f>
        <v/>
      </c>
      <c r="I81" s="266" t="n"/>
      <c r="J81" s="1014">
        <f>+F81</f>
        <v/>
      </c>
      <c r="K81" s="266" t="n"/>
      <c r="L81" s="1014">
        <f>+J81</f>
        <v/>
      </c>
      <c r="M81" s="266" t="n"/>
      <c r="N81" s="1014">
        <f>+L81</f>
        <v/>
      </c>
      <c r="O81" s="266" t="n"/>
      <c r="P81" s="1014">
        <f>+N81</f>
        <v/>
      </c>
      <c r="Q81" s="266" t="n"/>
      <c r="R81" s="1014">
        <f>+P81</f>
        <v/>
      </c>
      <c r="S81" s="266" t="n"/>
      <c r="T81" s="1014">
        <f>+R81</f>
        <v/>
      </c>
    </row>
    <row r="82" ht="15.6" customHeight="1" thickBot="1">
      <c r="E82" s="266" t="n"/>
      <c r="F82" s="263" t="n"/>
      <c r="G82" s="266" t="n"/>
      <c r="H82" s="263" t="n"/>
      <c r="I82" s="266" t="n"/>
      <c r="J82" s="263" t="n"/>
      <c r="K82" s="266" t="n"/>
      <c r="L82" s="263" t="n"/>
      <c r="M82" s="266" t="n"/>
      <c r="N82" s="263" t="n"/>
      <c r="O82" s="266" t="n"/>
      <c r="P82" s="263" t="n"/>
      <c r="Q82" s="266" t="n"/>
      <c r="R82" s="263" t="n"/>
      <c r="S82" s="266" t="n"/>
      <c r="T82" s="263" t="n"/>
    </row>
    <row r="83">
      <c r="E83" s="266" t="n"/>
      <c r="F83" s="296" t="n"/>
      <c r="G83" s="266" t="n"/>
      <c r="H83" s="296" t="n"/>
      <c r="I83" s="266" t="n"/>
      <c r="J83" s="296" t="n"/>
      <c r="K83" s="266" t="n"/>
      <c r="L83" s="296" t="n"/>
      <c r="M83" s="266" t="n"/>
      <c r="N83" s="296" t="n"/>
      <c r="O83" s="266" t="n"/>
      <c r="P83" s="296" t="n"/>
      <c r="Q83" s="266" t="n"/>
      <c r="R83" s="296" t="n"/>
      <c r="S83" s="266" t="n"/>
      <c r="T83" s="296" t="n"/>
    </row>
    <row r="84" ht="28.2" customHeight="1">
      <c r="A84" s="762" t="inlineStr">
        <is>
          <t xml:space="preserve">COSTO FINAL </t>
        </is>
      </c>
      <c r="D84" s="206" t="n"/>
      <c r="E84" s="292" t="n"/>
      <c r="F84" s="1015">
        <f>+F31+F45+F67+F76+F80+F81</f>
        <v/>
      </c>
      <c r="G84" s="292" t="n"/>
      <c r="H84" s="1015">
        <f>+H31+H45+H67+H76+H80+H81</f>
        <v/>
      </c>
      <c r="I84" s="279" t="n"/>
      <c r="J84" s="1015">
        <f>+J31+J45+J67+J76+J80+J81</f>
        <v/>
      </c>
      <c r="K84" s="279" t="n"/>
      <c r="L84" s="1015">
        <f>+L31+L45+L67+L76+L80+L81</f>
        <v/>
      </c>
      <c r="M84" s="279" t="n"/>
      <c r="N84" s="1015">
        <f>+N31+N45+N67+N76+N80+N81</f>
        <v/>
      </c>
      <c r="O84" s="292" t="n"/>
      <c r="P84" s="1015">
        <f>+P31+P45+P67+P76+P80+P81</f>
        <v/>
      </c>
      <c r="Q84" s="279" t="n"/>
      <c r="R84" s="1015">
        <f>+R31+R45+R67+R76+R80+R81</f>
        <v/>
      </c>
      <c r="S84" s="279" t="n"/>
      <c r="T84" s="1015">
        <f>+T31+T45+T67+T76+T80+T81</f>
        <v/>
      </c>
    </row>
    <row r="85" ht="27" customHeight="1" thickBot="1">
      <c r="C85" s="278" t="n"/>
      <c r="D85" s="278" t="n"/>
      <c r="E85" s="293" t="n"/>
      <c r="F85" s="1015">
        <f>F84*$C$87/$C$88</f>
        <v/>
      </c>
      <c r="G85" s="293" t="n"/>
      <c r="H85" s="1015">
        <f>H84*$C$87/$C$88</f>
        <v/>
      </c>
      <c r="I85" s="293" t="n"/>
      <c r="J85" s="1015">
        <f>J84*$C$87/$C$88</f>
        <v/>
      </c>
      <c r="K85" s="293" t="n"/>
      <c r="L85" s="1015">
        <f>L84*$C$87/$C$88</f>
        <v/>
      </c>
      <c r="M85" s="293" t="n"/>
      <c r="N85" s="1015">
        <f>N84*$C$87/$C$88</f>
        <v/>
      </c>
      <c r="O85" s="293" t="n"/>
      <c r="P85" s="1015">
        <f>P84*$C$87/$C$88</f>
        <v/>
      </c>
      <c r="Q85" s="293" t="n"/>
      <c r="R85" s="1015">
        <f>R84*$C$87/$C$88</f>
        <v/>
      </c>
      <c r="S85" s="293" t="n"/>
      <c r="T85" s="1015">
        <f>T84*$C$87/$C$88</f>
        <v/>
      </c>
    </row>
    <row r="86">
      <c r="F86" s="1016">
        <f>F84/(1-'Presupuesto de VENTA'!$G$14)+'Presupuesto de VENTA'!#REF!+'Presupuesto de VENTA'!#REF!</f>
        <v/>
      </c>
      <c r="H86" s="1016">
        <f>H84/(1-'Presupuesto de VENTA'!$G$14)+'Presupuesto de VENTA'!#REF!+'Presupuesto de VENTA'!#REF!</f>
        <v/>
      </c>
      <c r="J86" s="1016">
        <f>J84/(1-'Presupuesto de VENTA'!$G$14)+'Presupuesto de VENTA'!#REF!+'Presupuesto de VENTA'!#REF!</f>
        <v/>
      </c>
      <c r="L86" s="1016">
        <f>L84/(1-'Presupuesto de VENTA'!$G$14)+'Presupuesto de VENTA'!#REF!+'Presupuesto de VENTA'!#REF!</f>
        <v/>
      </c>
      <c r="N86" s="1016">
        <f>N84/(1-'Presupuesto de VENTA'!$G$14)+'Presupuesto de VENTA'!#REF!+'Presupuesto de VENTA'!#REF!</f>
        <v/>
      </c>
      <c r="P86" s="1016">
        <f>P84/(1-'Presupuesto de VENTA'!$G$14)+'Presupuesto de VENTA'!#REF!+'Presupuesto de VENTA'!#REF!</f>
        <v/>
      </c>
      <c r="T86" s="1016">
        <f>T84/(1-'Presupuesto de VENTA'!$G$14)+'Presupuesto de VENTA'!#REF!+'Presupuesto de VENTA'!#REF!</f>
        <v/>
      </c>
    </row>
    <row r="87" ht="24.9" customFormat="1" customHeight="1" s="294" thickBot="1">
      <c r="A87" s="280" t="inlineStr">
        <is>
          <t>Base Horaria (HS/MES)</t>
        </is>
      </c>
      <c r="B87" s="267" t="n"/>
      <c r="C87" s="281" t="n">
        <v>187</v>
      </c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</row>
    <row r="88" ht="12" customHeight="1" thickBot="1">
      <c r="A88" s="294" t="n"/>
      <c r="B88" s="294" t="n"/>
      <c r="C88" s="294" t="n"/>
      <c r="D88" s="294" t="n"/>
      <c r="E88" s="1017" t="inlineStr">
        <is>
          <t>ANALISIS DE SUELDOS DE BOLSILLO</t>
        </is>
      </c>
      <c r="F88" s="917" t="n"/>
      <c r="G88" s="917" t="n"/>
      <c r="H88" s="917" t="n"/>
      <c r="I88" s="917" t="n"/>
      <c r="J88" s="917" t="n"/>
      <c r="K88" s="917" t="n"/>
      <c r="L88" s="917" t="n"/>
      <c r="M88" s="917" t="n"/>
      <c r="N88" s="17" t="n"/>
      <c r="O88" s="763" t="inlineStr">
        <is>
          <t>ANALISIS DE SUELDOS DE BOLSILLO</t>
        </is>
      </c>
      <c r="P88" s="917" t="n"/>
      <c r="Q88" s="917" t="n"/>
      <c r="R88" s="917" t="n"/>
      <c r="S88" s="917" t="n"/>
      <c r="T88" s="917" t="n"/>
    </row>
    <row r="89" ht="16.5" customHeight="1" thickBot="1">
      <c r="F89" s="282" t="n"/>
      <c r="H89" s="282" t="n"/>
      <c r="I89" s="282" t="n"/>
      <c r="J89" s="282" t="n"/>
      <c r="K89" s="282" t="n"/>
      <c r="L89" s="282" t="n"/>
      <c r="M89" s="282" t="n"/>
      <c r="N89" s="282" t="n"/>
      <c r="P89" s="282" t="n"/>
      <c r="Q89" s="282" t="n"/>
      <c r="R89" s="282" t="n"/>
      <c r="S89" s="282" t="n"/>
      <c r="T89" s="282" t="n"/>
    </row>
    <row r="90" ht="16.2" customHeight="1" thickBot="1">
      <c r="E90" s="1018" t="inlineStr">
        <is>
          <t>ESPECIALIDAD en HORAS NORMALES</t>
        </is>
      </c>
      <c r="F90" s="917" t="n"/>
      <c r="G90" s="917" t="n"/>
      <c r="H90" s="917" t="n"/>
      <c r="I90" s="917" t="n"/>
      <c r="J90" s="917" t="n"/>
      <c r="K90" s="917" t="n"/>
      <c r="L90" s="917" t="n"/>
      <c r="M90" s="917" t="n"/>
      <c r="N90" s="17" t="n"/>
      <c r="O90" s="755" t="inlineStr">
        <is>
          <t>ESPECIALIDAD en HORAS NORMALES</t>
        </is>
      </c>
      <c r="P90" s="917" t="n"/>
      <c r="Q90" s="917" t="n"/>
      <c r="R90" s="917" t="n"/>
      <c r="S90" s="917" t="n"/>
      <c r="T90" s="917" t="n"/>
    </row>
    <row r="91" ht="15.6" customHeight="1">
      <c r="E91" s="759">
        <f>+E13</f>
        <v/>
      </c>
      <c r="F91" s="1001" t="n"/>
      <c r="G91" s="759">
        <f>+G13</f>
        <v/>
      </c>
      <c r="H91" s="1001" t="n"/>
      <c r="I91" s="759">
        <f>+I13</f>
        <v/>
      </c>
      <c r="J91" s="1001" t="n"/>
      <c r="K91" s="759">
        <f>+K13</f>
        <v/>
      </c>
      <c r="L91" s="1001" t="n"/>
      <c r="M91" s="759">
        <f>+M13</f>
        <v/>
      </c>
      <c r="N91" s="1001" t="n"/>
      <c r="O91" s="759">
        <f>+O13</f>
        <v/>
      </c>
      <c r="P91" s="1001" t="n"/>
      <c r="Q91" s="759">
        <f>+Q13</f>
        <v/>
      </c>
      <c r="R91" s="1001" t="n"/>
      <c r="S91" s="759">
        <f>+S13</f>
        <v/>
      </c>
      <c r="T91" s="1001" t="n"/>
    </row>
    <row r="92" ht="16.2" customHeight="1" thickBot="1">
      <c r="E92" s="284" t="inlineStr">
        <is>
          <t>$/mes</t>
        </is>
      </c>
      <c r="F92" s="285" t="inlineStr">
        <is>
          <t>$/H</t>
        </is>
      </c>
      <c r="G92" s="284" t="inlineStr">
        <is>
          <t>$/mes</t>
        </is>
      </c>
      <c r="H92" s="285" t="inlineStr">
        <is>
          <t>$/H</t>
        </is>
      </c>
      <c r="I92" s="284" t="inlineStr">
        <is>
          <t>$/mes</t>
        </is>
      </c>
      <c r="J92" s="285" t="inlineStr">
        <is>
          <t>$/H</t>
        </is>
      </c>
      <c r="K92" s="284" t="inlineStr">
        <is>
          <t>$/mes</t>
        </is>
      </c>
      <c r="L92" s="285" t="inlineStr">
        <is>
          <t>$/H</t>
        </is>
      </c>
      <c r="M92" s="284" t="inlineStr">
        <is>
          <t>$/mes</t>
        </is>
      </c>
      <c r="N92" s="285" t="inlineStr">
        <is>
          <t>$/H</t>
        </is>
      </c>
      <c r="O92" s="284" t="inlineStr">
        <is>
          <t>$/mes</t>
        </is>
      </c>
      <c r="P92" s="285" t="inlineStr">
        <is>
          <t>$/H</t>
        </is>
      </c>
      <c r="Q92" s="284" t="inlineStr">
        <is>
          <t>$/mes</t>
        </is>
      </c>
      <c r="R92" s="285" t="inlineStr">
        <is>
          <t>$/H</t>
        </is>
      </c>
      <c r="S92" s="284" t="inlineStr">
        <is>
          <t>$/mes</t>
        </is>
      </c>
      <c r="T92" s="285" t="inlineStr">
        <is>
          <t>$/H</t>
        </is>
      </c>
    </row>
    <row r="93" ht="20.4" customHeight="1">
      <c r="A93" s="767" t="inlineStr">
        <is>
          <t>SUELDO NETO</t>
        </is>
      </c>
      <c r="B93" s="846" t="n"/>
      <c r="C93" s="846" t="n"/>
      <c r="D93" s="847" t="n"/>
      <c r="E93" s="1019">
        <f>+(E31-E27)*(100-15)%</f>
        <v/>
      </c>
      <c r="F93" s="1020">
        <f>+E93/$C$87</f>
        <v/>
      </c>
      <c r="G93" s="1019">
        <f>+(G31-G27)*(100-15)%</f>
        <v/>
      </c>
      <c r="H93" s="1020">
        <f>+G93/$C$87</f>
        <v/>
      </c>
      <c r="I93" s="1019">
        <f>+(I31-I27)*(100-15)%</f>
        <v/>
      </c>
      <c r="J93" s="1020">
        <f>+I93/$C$87</f>
        <v/>
      </c>
      <c r="K93" s="1019">
        <f>+(K31-K27)*(100-15)%</f>
        <v/>
      </c>
      <c r="L93" s="1020">
        <f>+K93/$C$87</f>
        <v/>
      </c>
      <c r="M93" s="1019">
        <f>+(M31-M27)*(100-15)%</f>
        <v/>
      </c>
      <c r="N93" s="1020">
        <f>+M93/$C$87</f>
        <v/>
      </c>
      <c r="O93" s="1019">
        <f>+(O31-O27)*(100-15)%</f>
        <v/>
      </c>
      <c r="P93" s="1020">
        <f>+O93/$C$87</f>
        <v/>
      </c>
      <c r="Q93" s="1019">
        <f>+(Q31-Q27)*(100-15)%</f>
        <v/>
      </c>
      <c r="R93" s="1020">
        <f>+Q93/$C$87</f>
        <v/>
      </c>
      <c r="S93" s="1019">
        <f>+(S31-S27)*(100-15)%</f>
        <v/>
      </c>
      <c r="T93" s="1020">
        <f>+S93/$C$87</f>
        <v/>
      </c>
    </row>
    <row r="94" ht="20.4" customHeight="1">
      <c r="A94" s="767" t="inlineStr">
        <is>
          <t>VALES ALIMENTARIOS (TICKETS)</t>
        </is>
      </c>
      <c r="B94" s="846" t="n"/>
      <c r="C94" s="846" t="n"/>
      <c r="D94" s="847" t="n"/>
      <c r="E94" s="1019">
        <f>+E16*$D$42</f>
        <v/>
      </c>
      <c r="F94" s="1020">
        <f>+E94/$C$87</f>
        <v/>
      </c>
      <c r="G94" s="1019">
        <f>+G16*$D$42</f>
        <v/>
      </c>
      <c r="H94" s="1020">
        <f>+G94/$C$87</f>
        <v/>
      </c>
      <c r="I94" s="1019">
        <f>+I16*$D$42</f>
        <v/>
      </c>
      <c r="J94" s="1020">
        <f>+I94/$C$87</f>
        <v/>
      </c>
      <c r="K94" s="1019">
        <f>+K16*$D$42</f>
        <v/>
      </c>
      <c r="L94" s="1020">
        <f>+K94/$C$87</f>
        <v/>
      </c>
      <c r="M94" s="1019">
        <f>+M16*$D$42</f>
        <v/>
      </c>
      <c r="N94" s="1020">
        <f>+M94/$C$87</f>
        <v/>
      </c>
      <c r="O94" s="1019">
        <f>+O16*$D$42</f>
        <v/>
      </c>
      <c r="P94" s="1020">
        <f>+O94/$C$87</f>
        <v/>
      </c>
      <c r="Q94" s="1019">
        <f>+Q16*$D$42</f>
        <v/>
      </c>
      <c r="R94" s="1020">
        <f>+Q94/$C$87</f>
        <v/>
      </c>
      <c r="S94" s="1019">
        <f>+S16*$D$42</f>
        <v/>
      </c>
      <c r="T94" s="1020">
        <f>+S94/$C$87</f>
        <v/>
      </c>
    </row>
    <row r="95" ht="20.4" customHeight="1">
      <c r="A95" s="767" t="inlineStr">
        <is>
          <t>DECRETO NO REMUNERATIVO</t>
        </is>
      </c>
      <c r="B95" s="846" t="n"/>
      <c r="C95" s="846" t="n"/>
      <c r="D95" s="847" t="n"/>
      <c r="E95" s="1019">
        <f>+E54</f>
        <v/>
      </c>
      <c r="F95" s="1020">
        <f>+E95/$C$87</f>
        <v/>
      </c>
      <c r="G95" s="1019">
        <f>+G54</f>
        <v/>
      </c>
      <c r="H95" s="1020">
        <f>+G95/$C$87</f>
        <v/>
      </c>
      <c r="I95" s="1019">
        <f>+I54</f>
        <v/>
      </c>
      <c r="J95" s="1020">
        <f>+I95/$C$87</f>
        <v/>
      </c>
      <c r="K95" s="1019">
        <f>+K54</f>
        <v/>
      </c>
      <c r="L95" s="1020">
        <f>+K95/$C$87</f>
        <v/>
      </c>
      <c r="M95" s="1019">
        <f>+M54</f>
        <v/>
      </c>
      <c r="N95" s="1020">
        <f>+M95/$C$87</f>
        <v/>
      </c>
      <c r="O95" s="1019">
        <f>+O54</f>
        <v/>
      </c>
      <c r="P95" s="1020">
        <f>+O95/$C$87</f>
        <v/>
      </c>
      <c r="Q95" s="1019">
        <f>+Q54</f>
        <v/>
      </c>
      <c r="R95" s="1020">
        <f>+Q95/$C$87</f>
        <v/>
      </c>
      <c r="S95" s="1019">
        <f>+S54</f>
        <v/>
      </c>
      <c r="T95" s="1020">
        <f>+S95/$C$87</f>
        <v/>
      </c>
    </row>
    <row r="96" ht="15.6" customHeight="1">
      <c r="E96" s="267" t="n"/>
      <c r="G96" s="267" t="n"/>
      <c r="O96" s="267" t="n"/>
    </row>
    <row r="97" ht="23.4" customHeight="1">
      <c r="A97" s="767" t="inlineStr">
        <is>
          <t>SUELDO DE BOLSILLO (LIQUIDO)</t>
        </is>
      </c>
      <c r="B97" s="846" t="n"/>
      <c r="C97" s="846" t="n"/>
      <c r="D97" s="847" t="n"/>
      <c r="E97" s="1021">
        <f>+SUM(E93:E95)</f>
        <v/>
      </c>
      <c r="F97" s="1021">
        <f>+SUM(F93:F95)</f>
        <v/>
      </c>
      <c r="G97" s="1021">
        <f>+SUM(G93:G95)</f>
        <v/>
      </c>
      <c r="H97" s="1021">
        <f>+SUM(H93:H95)</f>
        <v/>
      </c>
      <c r="I97" s="1021">
        <f>+SUM(I93:I95)</f>
        <v/>
      </c>
      <c r="J97" s="1021">
        <f>+SUM(J93:J95)</f>
        <v/>
      </c>
      <c r="K97" s="1021">
        <f>+SUM(K93:K95)</f>
        <v/>
      </c>
      <c r="L97" s="1021">
        <f>+SUM(L93:L95)</f>
        <v/>
      </c>
      <c r="M97" s="1021">
        <f>+SUM(M93:M95)</f>
        <v/>
      </c>
      <c r="N97" s="1021">
        <f>+SUM(N93:N95)</f>
        <v/>
      </c>
      <c r="O97" s="1021">
        <f>+SUM(O93:O95)</f>
        <v/>
      </c>
      <c r="P97" s="1021">
        <f>+SUM(P93:P95)</f>
        <v/>
      </c>
      <c r="Q97" s="1021">
        <f>+SUM(Q93:Q95)</f>
        <v/>
      </c>
      <c r="R97" s="1021">
        <f>+SUM(R93:R95)</f>
        <v/>
      </c>
      <c r="S97" s="1021">
        <f>+SUM(S93:S95)</f>
        <v/>
      </c>
      <c r="T97" s="1021">
        <f>+SUM(T93:T95)</f>
        <v/>
      </c>
    </row>
    <row r="99" ht="21" customHeight="1">
      <c r="A99" s="768" t="inlineStr">
        <is>
          <t>COEFICIENTE DE COSTO (BOSILLO/COSTO)</t>
        </is>
      </c>
      <c r="B99" s="846" t="n"/>
      <c r="C99" s="846" t="n"/>
      <c r="D99" s="847" t="n"/>
      <c r="E99" s="1022">
        <f>+F84/F97</f>
        <v/>
      </c>
      <c r="F99" s="847" t="n"/>
      <c r="G99" s="1022">
        <f>+H84/H97</f>
        <v/>
      </c>
      <c r="H99" s="847" t="n"/>
      <c r="I99" s="1022">
        <f>+J84/J97</f>
        <v/>
      </c>
      <c r="J99" s="847" t="n"/>
      <c r="K99" s="1022">
        <f>+L84/L97</f>
        <v/>
      </c>
      <c r="L99" s="847" t="n"/>
      <c r="M99" s="1022">
        <f>+N84/N97</f>
        <v/>
      </c>
      <c r="N99" s="847" t="n"/>
      <c r="O99" s="1022">
        <f>+P84/P97</f>
        <v/>
      </c>
      <c r="P99" s="847" t="n"/>
      <c r="Q99" s="1022">
        <f>+R84/R97</f>
        <v/>
      </c>
      <c r="R99" s="847" t="n"/>
      <c r="S99" s="1022">
        <f>+T84/T97</f>
        <v/>
      </c>
      <c r="T99" s="847" t="n"/>
    </row>
    <row r="101" ht="15.6" customHeight="1">
      <c r="T101" s="320" t="n"/>
      <c r="U101" s="1023" t="n"/>
    </row>
    <row r="102" ht="15.75" customHeight="1">
      <c r="A102" s="350" t="inlineStr">
        <is>
          <t>a) CATEGORIAS Generales, Art.6.</t>
        </is>
      </c>
      <c r="B102" s="1024" t="inlineStr">
        <is>
          <t>NUEVO ACUERDO DE OCTUBRE 2009</t>
        </is>
      </c>
      <c r="C102" s="239" t="n"/>
      <c r="D102" s="853" t="n"/>
      <c r="E102" s="351" t="n"/>
      <c r="F102" s="351" t="n"/>
      <c r="G102" s="351" t="n"/>
      <c r="H102" s="351" t="n"/>
      <c r="I102" s="463" t="n">
        <v>39661</v>
      </c>
      <c r="K102" s="462" t="n">
        <v>39508</v>
      </c>
      <c r="L102" s="461" t="n"/>
      <c r="M102" s="461" t="n"/>
      <c r="N102" s="461" t="n"/>
    </row>
    <row r="103" ht="15.75" customHeight="1">
      <c r="A103" s="352" t="inlineStr">
        <is>
          <t xml:space="preserve">     Operario</t>
        </is>
      </c>
      <c r="B103" s="854" t="n"/>
      <c r="D103" s="849" t="n"/>
      <c r="E103" s="1025" t="n"/>
      <c r="F103" s="1025" t="n"/>
      <c r="G103" s="1025" t="n"/>
      <c r="H103" s="1025" t="n"/>
      <c r="I103" s="1026" t="n">
        <v>8.960000000000001</v>
      </c>
      <c r="J103" s="257" t="n">
        <v>1.32</v>
      </c>
      <c r="K103" s="1026" t="n">
        <v>6.04</v>
      </c>
      <c r="L103" s="1004" t="n"/>
      <c r="M103" s="1004" t="n"/>
      <c r="N103" s="1027" t="n"/>
      <c r="O103" s="1023" t="n"/>
      <c r="Q103" s="776" t="n"/>
      <c r="U103" s="1023" t="n"/>
    </row>
    <row r="104" ht="15.75" customHeight="1">
      <c r="A104" s="352" t="inlineStr">
        <is>
          <t xml:space="preserve">     Operario Calificado</t>
        </is>
      </c>
      <c r="B104" s="854" t="n"/>
      <c r="D104" s="849" t="n"/>
      <c r="E104" s="1025" t="n"/>
      <c r="F104" s="1025" t="n"/>
      <c r="G104" s="1025" t="n"/>
      <c r="H104" s="1025" t="n"/>
      <c r="I104" s="1026" t="n"/>
      <c r="J104" s="257" t="n">
        <v>1.28</v>
      </c>
      <c r="K104" s="1026" t="n">
        <v>6.540355029585799</v>
      </c>
      <c r="L104" s="1004" t="n"/>
      <c r="M104" s="1004" t="n"/>
      <c r="N104" s="1027" t="n"/>
      <c r="O104" s="1023" t="n"/>
      <c r="U104" s="421" t="n"/>
    </row>
    <row r="105" ht="15.75" customHeight="1">
      <c r="A105" s="352" t="inlineStr">
        <is>
          <t xml:space="preserve">     Medio Oficial</t>
        </is>
      </c>
      <c r="B105" s="854" t="n"/>
      <c r="D105" s="849" t="n"/>
      <c r="E105" s="1025" t="n"/>
      <c r="F105" s="1025" t="n"/>
      <c r="G105" s="1025" t="n"/>
      <c r="H105" s="1025" t="n"/>
      <c r="I105" s="1026" t="n">
        <v>10.47</v>
      </c>
      <c r="J105" s="257" t="n">
        <v>1.28</v>
      </c>
      <c r="K105" s="1026" t="n">
        <v>7.064536489151873</v>
      </c>
      <c r="L105" s="1004" t="n"/>
      <c r="M105" s="1004" t="n"/>
      <c r="N105" s="1027" t="n"/>
      <c r="O105" s="1023" t="n"/>
    </row>
    <row r="106" ht="15.75" customHeight="1">
      <c r="A106" s="352" t="inlineStr">
        <is>
          <t xml:space="preserve">     Operario Especializado</t>
        </is>
      </c>
      <c r="B106" s="854" t="n"/>
      <c r="D106" s="849" t="n"/>
      <c r="E106" s="1025" t="n"/>
      <c r="F106" s="1025" t="n"/>
      <c r="G106" s="1025" t="n"/>
      <c r="H106" s="1025" t="n"/>
      <c r="I106" s="1026" t="n"/>
      <c r="J106" s="257" t="n">
        <v>1.28</v>
      </c>
      <c r="K106" s="1026" t="n">
        <v>7.541065088757396</v>
      </c>
      <c r="L106" s="1004" t="n"/>
      <c r="M106" s="1004" t="n"/>
      <c r="N106" s="1027" t="n"/>
      <c r="O106" s="1023" t="n"/>
    </row>
    <row r="107" ht="15.75" customHeight="1">
      <c r="A107" s="352" t="inlineStr">
        <is>
          <t xml:space="preserve">     Operario Espdo. Múltiple</t>
        </is>
      </c>
      <c r="B107" s="854" t="n"/>
      <c r="D107" s="849" t="n"/>
      <c r="E107" s="1025" t="n"/>
      <c r="F107" s="1025" t="n"/>
      <c r="G107" s="1025" t="n"/>
      <c r="H107" s="1025" t="n"/>
      <c r="I107" s="1026" t="n"/>
      <c r="J107" s="257" t="n">
        <v>1.28</v>
      </c>
      <c r="K107" s="1026" t="n">
        <v>7.981854043392504</v>
      </c>
      <c r="L107" s="1004" t="n"/>
      <c r="M107" s="1004" t="n"/>
      <c r="N107" s="1027" t="n"/>
      <c r="O107" s="1023" t="n"/>
    </row>
    <row r="108" ht="15.75" customHeight="1">
      <c r="A108" s="352" t="inlineStr">
        <is>
          <t xml:space="preserve">     Oficial</t>
        </is>
      </c>
      <c r="B108" s="854" t="n"/>
      <c r="D108" s="849" t="n"/>
      <c r="E108" s="1025" t="n"/>
      <c r="F108" s="1025" t="n"/>
      <c r="G108" s="1025" t="n"/>
      <c r="H108" s="1025" t="n"/>
      <c r="I108" s="1026" t="n">
        <v>12.38</v>
      </c>
      <c r="J108" s="257" t="n">
        <v>1.28</v>
      </c>
      <c r="K108" s="1026" t="n">
        <v>8.339250493096646</v>
      </c>
      <c r="L108" s="1004" t="n"/>
      <c r="M108" s="1004" t="n"/>
      <c r="N108" s="1027" t="n"/>
      <c r="O108" s="1023" t="n"/>
    </row>
    <row r="109" ht="15.75" customHeight="1">
      <c r="A109" s="352" t="inlineStr">
        <is>
          <t xml:space="preserve">     Oficial Múltiple</t>
        </is>
      </c>
      <c r="B109" s="854" t="n"/>
      <c r="D109" s="849" t="n"/>
      <c r="E109" s="1025" t="n"/>
      <c r="F109" s="1025" t="n"/>
      <c r="G109" s="1025" t="n"/>
      <c r="H109" s="1025" t="n"/>
      <c r="I109" s="1026" t="n">
        <v>13.33</v>
      </c>
      <c r="J109" s="257" t="n">
        <v>1.28</v>
      </c>
      <c r="K109" s="1026" t="n">
        <v>8.982564102564099</v>
      </c>
      <c r="L109" s="1004" t="n"/>
      <c r="M109" s="1004" t="n"/>
      <c r="N109" s="1027" t="n"/>
      <c r="O109" s="1023" t="n"/>
    </row>
    <row r="110" ht="15.6" customHeight="1">
      <c r="A110" s="352" t="inlineStr">
        <is>
          <t>Oficial Multiple Rotacion</t>
        </is>
      </c>
      <c r="B110" s="854" t="n"/>
      <c r="D110" s="849" t="n"/>
      <c r="E110" s="1025" t="n"/>
      <c r="F110" s="1025" t="n"/>
      <c r="G110" s="1025" t="n"/>
      <c r="H110" s="1025" t="n"/>
      <c r="I110" s="1026">
        <f>I109</f>
        <v/>
      </c>
      <c r="K110" s="1026" t="n"/>
      <c r="L110" s="1004" t="n"/>
      <c r="M110" s="1004" t="n"/>
      <c r="N110" s="1027" t="n"/>
      <c r="O110" s="1023" t="n"/>
    </row>
    <row r="112">
      <c r="E112" s="1004" t="n"/>
      <c r="G112" s="1004" t="n"/>
      <c r="I112" s="1004" t="n"/>
      <c r="K112" s="1004" t="n"/>
      <c r="M112" s="1004" t="n"/>
      <c r="O112" s="1004" t="n"/>
      <c r="Q112" s="1004" t="n"/>
      <c r="S112" s="1004" t="n"/>
    </row>
    <row r="113">
      <c r="E113" s="446" t="n"/>
      <c r="F113" s="320" t="n"/>
      <c r="G113" s="446" t="n"/>
      <c r="H113" s="320" t="n"/>
      <c r="I113" s="446" t="n"/>
      <c r="J113" s="320" t="n"/>
      <c r="K113" s="320" t="n"/>
      <c r="L113" s="320" t="n"/>
      <c r="M113" s="320" t="n"/>
      <c r="N113" s="320" t="n"/>
      <c r="O113" s="446" t="n"/>
      <c r="P113" s="320" t="n"/>
      <c r="Q113" s="320" t="n"/>
      <c r="R113" s="320" t="n"/>
      <c r="S113" s="446" t="n"/>
      <c r="T113" s="320" t="n"/>
    </row>
    <row r="114" ht="15.6" customHeight="1">
      <c r="A114" s="776" t="n"/>
      <c r="B114" s="1023" t="n"/>
      <c r="E114" s="1004" t="n"/>
      <c r="G114" s="1004" t="n"/>
      <c r="I114" s="1004" t="n"/>
      <c r="O114" s="1004" t="n"/>
      <c r="S114" s="1004" t="n"/>
    </row>
    <row r="115">
      <c r="B115" s="344" t="n"/>
    </row>
    <row r="116" ht="15.6" customHeight="1">
      <c r="B116" s="1028" t="n"/>
    </row>
    <row r="117" ht="19.2" customHeight="1">
      <c r="B117" s="1029" t="n"/>
    </row>
    <row r="119">
      <c r="F119" s="1004" t="n"/>
      <c r="H119" s="1004" t="n"/>
    </row>
    <row r="120">
      <c r="F120" s="1004" t="n"/>
      <c r="H120" s="1004" t="n"/>
    </row>
  </sheetData>
  <mergeCells count="50">
    <mergeCell ref="S91:T91"/>
    <mergeCell ref="Q13:R13"/>
    <mergeCell ref="A97:D97"/>
    <mergeCell ref="O10:P10"/>
    <mergeCell ref="O88:T88"/>
    <mergeCell ref="A93:D93"/>
    <mergeCell ref="B102:D110"/>
    <mergeCell ref="I91:J91"/>
    <mergeCell ref="K91:L91"/>
    <mergeCell ref="E10:F10"/>
    <mergeCell ref="G10:H10"/>
    <mergeCell ref="M10:N10"/>
    <mergeCell ref="Q10:R10"/>
    <mergeCell ref="K99:L99"/>
    <mergeCell ref="E13:F13"/>
    <mergeCell ref="E12:T12"/>
    <mergeCell ref="M99:N99"/>
    <mergeCell ref="A35:C35"/>
    <mergeCell ref="S13:T13"/>
    <mergeCell ref="O99:P99"/>
    <mergeCell ref="G13:H13"/>
    <mergeCell ref="M13:N13"/>
    <mergeCell ref="A10:C10"/>
    <mergeCell ref="A94:D94"/>
    <mergeCell ref="E99:F99"/>
    <mergeCell ref="S10:T10"/>
    <mergeCell ref="O90:T90"/>
    <mergeCell ref="Q99:R99"/>
    <mergeCell ref="E88:N88"/>
    <mergeCell ref="S99:T99"/>
    <mergeCell ref="A15:C15"/>
    <mergeCell ref="A99:D99"/>
    <mergeCell ref="A48:C48"/>
    <mergeCell ref="Q103:T103"/>
    <mergeCell ref="A84:D84"/>
    <mergeCell ref="E91:F91"/>
    <mergeCell ref="G91:H91"/>
    <mergeCell ref="M91:N91"/>
    <mergeCell ref="O91:P91"/>
    <mergeCell ref="I10:J10"/>
    <mergeCell ref="K10:L10"/>
    <mergeCell ref="A70:C70"/>
    <mergeCell ref="G99:H99"/>
    <mergeCell ref="A95:D95"/>
    <mergeCell ref="I99:J99"/>
    <mergeCell ref="E90:N90"/>
    <mergeCell ref="I13:J13"/>
    <mergeCell ref="K13:L13"/>
    <mergeCell ref="Q91:R91"/>
    <mergeCell ref="O13:P13"/>
  </mergeCells>
  <conditionalFormatting sqref="I1:I3 K1:K3 M1:M3 O1:O3 R1:R2 S1:S3 T1:T2">
    <cfRule type="cellIs" priority="2" operator="lessThan" dxfId="0" stopIfTrue="1">
      <formula>0</formula>
    </cfRule>
  </conditionalFormatting>
  <printOptions horizontalCentered="1"/>
  <pageMargins left="0.26" right="0.21" top="0.45" bottom="0.35" header="0" footer="0"/>
  <pageSetup orientation="landscape" paperSize="9" scale="24" horizontalDpi="429496729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AQ49"/>
  <sheetViews>
    <sheetView view="pageBreakPreview" topLeftCell="A6" zoomScale="50" zoomScaleNormal="50" workbookViewId="0">
      <selection activeCell="C11" sqref="C11"/>
    </sheetView>
  </sheetViews>
  <sheetFormatPr baseColWidth="10" defaultColWidth="11.44140625" defaultRowHeight="13.2"/>
  <cols>
    <col width="61.5546875" bestFit="1" customWidth="1" min="2" max="2"/>
    <col width="20.5546875" bestFit="1" customWidth="1" min="3" max="3"/>
    <col width="16.109375" bestFit="1" customWidth="1" min="4" max="4"/>
    <col width="20.44140625" bestFit="1" customWidth="1" min="5" max="5"/>
    <col width="2.33203125" customWidth="1" min="6" max="6"/>
    <col width="11.33203125" bestFit="1" customWidth="1" min="7" max="7"/>
    <col width="10.6640625" bestFit="1" customWidth="1" min="8" max="9"/>
    <col width="9.5546875" bestFit="1" customWidth="1" min="10" max="10"/>
    <col width="18.6640625" bestFit="1" customWidth="1" min="11" max="11"/>
    <col width="12" customWidth="1" min="12" max="12"/>
    <col width="16.109375" bestFit="1" customWidth="1" min="13" max="13"/>
    <col width="10.5546875" bestFit="1" customWidth="1" min="14" max="14"/>
    <col width="16.6640625" bestFit="1" customWidth="1" min="15" max="15"/>
    <col width="8.44140625" bestFit="1" customWidth="1" min="16" max="16"/>
    <col width="12" customWidth="1" min="17" max="17"/>
    <col width="10.44140625" bestFit="1" customWidth="1" min="18" max="20"/>
    <col width="10.6640625" bestFit="1" customWidth="1" min="21" max="21"/>
    <col width="12.44140625" bestFit="1" customWidth="1" min="22" max="22"/>
    <col width="12.109375" bestFit="1" customWidth="1" min="23" max="23"/>
    <col width="14.44140625" bestFit="1" customWidth="1" min="24" max="24"/>
    <col width="11.88671875" bestFit="1" customWidth="1" min="25" max="26"/>
    <col width="14.44140625" bestFit="1" customWidth="1" min="27" max="27"/>
    <col width="13.5546875" bestFit="1" customWidth="1" min="28" max="28"/>
    <col width="11.6640625" bestFit="1" customWidth="1" min="29" max="31"/>
    <col width="11.6640625" customWidth="1" min="32" max="32"/>
    <col width="11.6640625" bestFit="1" customWidth="1" min="33" max="33"/>
    <col width="14" bestFit="1" customWidth="1" min="34" max="34"/>
    <col width="18.109375" bestFit="1" customWidth="1" min="35" max="35"/>
    <col width="13.88671875" bestFit="1" customWidth="1" min="36" max="36"/>
    <col width="16.6640625" bestFit="1" customWidth="1" min="41" max="41"/>
    <col width="3.109375" customWidth="1" min="42" max="42"/>
    <col width="13" bestFit="1" customWidth="1" min="43" max="43"/>
  </cols>
  <sheetData>
    <row r="2" ht="33" customHeight="1">
      <c r="B2" s="288" t="inlineStr">
        <is>
          <t>APERTURA DE COSTOS</t>
        </is>
      </c>
    </row>
    <row r="3" ht="33" customHeight="1">
      <c r="B3" s="288" t="n"/>
    </row>
    <row r="6" ht="180" customHeight="1">
      <c r="B6" s="1030" t="inlineStr">
        <is>
          <t>Categoria</t>
        </is>
      </c>
      <c r="C6" s="1031" t="inlineStr">
        <is>
          <t>BASICO/Incremento</t>
        </is>
      </c>
      <c r="D6" s="1031" t="inlineStr">
        <is>
          <t>DED.FUNCIONAL</t>
        </is>
      </c>
      <c r="E6" s="1032" t="inlineStr">
        <is>
          <t>SUELDO BASICO TOTAL (FIJO + PRIMAS)</t>
        </is>
      </c>
      <c r="F6" s="1033" t="n"/>
      <c r="G6" s="325" t="inlineStr">
        <is>
          <t>Antigüedad</t>
        </is>
      </c>
      <c r="H6" s="325" t="inlineStr">
        <is>
          <t>SAC</t>
        </is>
      </c>
      <c r="I6" s="325" t="inlineStr">
        <is>
          <t>Vacaciones</t>
        </is>
      </c>
      <c r="J6" s="325" t="inlineStr">
        <is>
          <t>Bonif. Vacac.</t>
        </is>
      </c>
      <c r="K6" s="1034" t="inlineStr">
        <is>
          <t>Sub- Total</t>
        </is>
      </c>
      <c r="L6" s="325" t="inlineStr">
        <is>
          <t>Cargas</t>
        </is>
      </c>
      <c r="M6" s="786" t="inlineStr">
        <is>
          <t>Diferencia Medicina Pre-paga</t>
        </is>
      </c>
      <c r="N6" s="325" t="inlineStr">
        <is>
          <t>ART</t>
        </is>
      </c>
      <c r="O6" s="786" t="inlineStr">
        <is>
          <t>Vales Alimentarios</t>
        </is>
      </c>
      <c r="P6" s="786" t="inlineStr">
        <is>
          <t>Vales Alimentarios SAC</t>
        </is>
      </c>
      <c r="Q6" s="786" t="inlineStr">
        <is>
          <t xml:space="preserve">Cargas Vales Alimentarios </t>
        </is>
      </c>
      <c r="R6" s="786" t="inlineStr">
        <is>
          <t>Costo Emisión Ticket</t>
        </is>
      </c>
      <c r="S6" s="328" t="inlineStr">
        <is>
          <t>Seg. Oblig.</t>
        </is>
      </c>
      <c r="T6" s="328" t="inlineStr">
        <is>
          <t>Transporte</t>
        </is>
      </c>
      <c r="U6" s="328" t="inlineStr">
        <is>
          <t xml:space="preserve">Comedor </t>
        </is>
      </c>
      <c r="V6" s="789" t="inlineStr">
        <is>
          <t>Servicio Med.</t>
        </is>
      </c>
      <c r="W6" s="789" t="inlineStr">
        <is>
          <t>Ropa+Reposición</t>
        </is>
      </c>
      <c r="X6" s="786" t="inlineStr">
        <is>
          <t>Atención al personal</t>
        </is>
      </c>
      <c r="Y6" s="786" t="inlineStr">
        <is>
          <t>Costos acreditación Bancaria</t>
        </is>
      </c>
      <c r="Z6" s="789" t="inlineStr">
        <is>
          <t>ART  Fijo</t>
        </is>
      </c>
      <c r="AA6" s="786" t="inlineStr">
        <is>
          <t>Exam. Preing.</t>
        </is>
      </c>
      <c r="AB6" s="786" t="inlineStr">
        <is>
          <t>Homolog. Examen</t>
        </is>
      </c>
      <c r="AC6" s="786" t="inlineStr">
        <is>
          <t>Aporte Sindical</t>
        </is>
      </c>
      <c r="AD6" s="786" t="inlineStr">
        <is>
          <t>Previsión Recategorización</t>
        </is>
      </c>
      <c r="AE6" s="786" t="inlineStr">
        <is>
          <t>Previsión Ausentismo</t>
        </is>
      </c>
      <c r="AF6" s="786" t="inlineStr">
        <is>
          <t>Previsión Capacitación</t>
        </is>
      </c>
      <c r="AG6" s="786" t="inlineStr">
        <is>
          <t>Provision Despido</t>
        </is>
      </c>
      <c r="AH6" s="789" t="inlineStr">
        <is>
          <t>Decreto/Adicional</t>
        </is>
      </c>
      <c r="AI6" s="1035" t="inlineStr">
        <is>
          <t>TOTAL COSTO MES</t>
        </is>
      </c>
      <c r="AJ6" s="329" t="inlineStr">
        <is>
          <t>TOTAL COSTO HH</t>
        </is>
      </c>
      <c r="AL6" s="786" t="inlineStr">
        <is>
          <t>SALARIO NETO ANTES DE IIGG</t>
        </is>
      </c>
      <c r="AM6" s="786" t="inlineStr">
        <is>
          <t>VALES ALIMENTARIOS</t>
        </is>
      </c>
      <c r="AN6" s="786" t="inlineStr">
        <is>
          <t>SALARIO VARIABLE</t>
        </is>
      </c>
      <c r="AO6" s="786" t="inlineStr">
        <is>
          <t>SALARIO DE BOLSILLO (LIQUIDO)</t>
        </is>
      </c>
      <c r="AQ6" s="1036" t="inlineStr">
        <is>
          <t>COEFICIENTE (COSTO/BOLSILLO)</t>
        </is>
      </c>
    </row>
    <row r="7" ht="50.1" customHeight="1">
      <c r="B7" s="1037" t="n"/>
      <c r="C7" s="1037" t="n"/>
      <c r="D7" s="1037" t="n"/>
      <c r="E7" s="1037" t="n"/>
      <c r="F7" s="1037" t="n"/>
      <c r="G7" s="330" t="n">
        <v>0</v>
      </c>
      <c r="H7" s="1037" t="n"/>
      <c r="I7" s="331" t="n">
        <v>14</v>
      </c>
      <c r="J7" s="331" t="n">
        <v>0</v>
      </c>
      <c r="K7" s="1037" t="n"/>
      <c r="L7" s="332" t="n">
        <v>0.22</v>
      </c>
      <c r="M7" s="1038" t="n"/>
      <c r="N7" s="334" t="n">
        <v>0.042</v>
      </c>
      <c r="O7" s="332" t="n">
        <v>0</v>
      </c>
      <c r="P7" s="1037" t="n"/>
      <c r="Q7" s="332" t="n">
        <v>0.14</v>
      </c>
      <c r="R7" s="332" t="n">
        <v>0.04</v>
      </c>
      <c r="S7" s="1039" t="n">
        <v>1.3</v>
      </c>
      <c r="T7" s="1039" t="n">
        <v>0</v>
      </c>
      <c r="U7" s="1039" t="n">
        <v>0</v>
      </c>
      <c r="V7" s="1039" t="n">
        <v>0</v>
      </c>
      <c r="W7" s="1039">
        <f>((400+400*10%)/12)*0</f>
        <v/>
      </c>
      <c r="X7" s="1039" t="n">
        <v>5500</v>
      </c>
      <c r="Y7" s="332" t="n">
        <v>0</v>
      </c>
      <c r="Z7" s="1039" t="n">
        <v>0.6</v>
      </c>
      <c r="AA7" s="1039" t="n">
        <v>5500</v>
      </c>
      <c r="AB7" s="1039" t="n">
        <v>0</v>
      </c>
      <c r="AC7" s="332" t="n">
        <v>0</v>
      </c>
      <c r="AD7" s="332" t="n">
        <v>0</v>
      </c>
      <c r="AE7" s="332" t="n">
        <v>0.05</v>
      </c>
      <c r="AF7" s="332" t="n">
        <v>0.02</v>
      </c>
      <c r="AG7" s="332" t="n">
        <v>0.0833</v>
      </c>
      <c r="AH7" s="1039" t="n">
        <v>0</v>
      </c>
      <c r="AI7" s="1037" t="n"/>
      <c r="AJ7" s="331" t="n">
        <v>200</v>
      </c>
      <c r="AL7" s="1037" t="n"/>
      <c r="AM7" s="1037" t="n"/>
      <c r="AN7" s="1037" t="n"/>
      <c r="AO7" s="1037" t="n"/>
      <c r="AQ7" s="1037" t="n"/>
    </row>
    <row r="8" ht="39.9" customHeight="1">
      <c r="B8" s="336" t="inlineStr">
        <is>
          <t>ADMINITRADOR DE CONTRATO</t>
        </is>
      </c>
      <c r="C8" s="1040">
        <f>599000*1.4*2.6*1.2</f>
        <v/>
      </c>
      <c r="D8" s="1040" t="n">
        <v>1000</v>
      </c>
      <c r="E8" s="1041">
        <f>+C8+D8</f>
        <v/>
      </c>
      <c r="F8" s="1042" t="n"/>
      <c r="G8" s="1043">
        <f>+((C8+D8)*$G$7)</f>
        <v/>
      </c>
      <c r="H8" s="1043">
        <f>(C8+D8+G8)/12</f>
        <v/>
      </c>
      <c r="I8" s="1043">
        <f>((SUM(C8:G8)/25)*$I$7)/12</f>
        <v/>
      </c>
      <c r="J8" s="1043">
        <f>((C8/191)*$J$7)/12</f>
        <v/>
      </c>
      <c r="K8" s="1044">
        <f>+E8+SUM(G8:J8)</f>
        <v/>
      </c>
      <c r="L8" s="1045">
        <f>K8*$L$7</f>
        <v/>
      </c>
      <c r="M8" s="1045" t="n"/>
      <c r="N8" s="1045">
        <f>K8*$N$7</f>
        <v/>
      </c>
      <c r="O8" s="1045">
        <f>(C8)*$O$7</f>
        <v/>
      </c>
      <c r="P8" s="1045">
        <f>O8/12</f>
        <v/>
      </c>
      <c r="Q8" s="1045">
        <f>(O8+P8)*$Q$7</f>
        <v/>
      </c>
      <c r="R8" s="1045">
        <f>(O8+P8)*$R$7</f>
        <v/>
      </c>
      <c r="S8" s="1045">
        <f>+$S$7</f>
        <v/>
      </c>
      <c r="T8" s="1045" t="n"/>
      <c r="U8" s="1045">
        <f>+$U$7</f>
        <v/>
      </c>
      <c r="V8" s="1045">
        <f>+$V$7</f>
        <v/>
      </c>
      <c r="W8" s="1045">
        <f>+$W$7</f>
        <v/>
      </c>
      <c r="X8" s="1045">
        <f>+$X$7/12</f>
        <v/>
      </c>
      <c r="Y8" s="1045">
        <f>(K8*85%)*$Y$7</f>
        <v/>
      </c>
      <c r="Z8" s="1045">
        <f>+$Z$7</f>
        <v/>
      </c>
      <c r="AA8" s="1045">
        <f>+$AA$7/12</f>
        <v/>
      </c>
      <c r="AB8" s="1045">
        <f>+$AB$7/12</f>
        <v/>
      </c>
      <c r="AC8" s="1045">
        <f>K8*$AC$7</f>
        <v/>
      </c>
      <c r="AD8" s="1045">
        <f>K8*$AD$7</f>
        <v/>
      </c>
      <c r="AE8" s="1045">
        <f>K8*$AE$7</f>
        <v/>
      </c>
      <c r="AF8" s="1045">
        <f>+K8*$AF$7</f>
        <v/>
      </c>
      <c r="AG8" s="1045">
        <f>K8*$AG$7+SUM(C8:D8)*(1/(12*2))</f>
        <v/>
      </c>
      <c r="AH8" s="1045">
        <f>+$AH$7</f>
        <v/>
      </c>
      <c r="AI8" s="1046">
        <f>+SUM(K8:AH8)</f>
        <v/>
      </c>
      <c r="AJ8" s="1046">
        <f>+AI8/$AJ$7</f>
        <v/>
      </c>
      <c r="AL8" s="1045">
        <f>+((C8)-(C8)*17%)</f>
        <v/>
      </c>
      <c r="AM8" s="1045">
        <f>+O8</f>
        <v/>
      </c>
      <c r="AN8" s="1045">
        <f>+D8-D8*17%</f>
        <v/>
      </c>
      <c r="AO8" s="1047">
        <f>+AL8+AM8+AN8</f>
        <v/>
      </c>
      <c r="AQ8" s="1048">
        <f>+AI8/AO8</f>
        <v/>
      </c>
    </row>
    <row r="9" ht="39.9" customHeight="1">
      <c r="B9" s="336" t="inlineStr">
        <is>
          <t>JEFE DE S&amp;SO, MA y CALIDAD</t>
        </is>
      </c>
      <c r="C9" s="1040">
        <f>1.4*450000*2*1.5</f>
        <v/>
      </c>
      <c r="D9" s="1040" t="n">
        <v>1000</v>
      </c>
      <c r="E9" s="1041">
        <f>+C9+D9</f>
        <v/>
      </c>
      <c r="F9" s="1042" t="n"/>
      <c r="G9" s="1043">
        <f>+((C9+D9)*$G$7)</f>
        <v/>
      </c>
      <c r="H9" s="1043">
        <f>(C9+D9+G9)/12</f>
        <v/>
      </c>
      <c r="I9" s="1043">
        <f>((SUM(C9:G9)/25)*$I$7)/12</f>
        <v/>
      </c>
      <c r="J9" s="1043">
        <f>((C9/191)*$J$7)/12</f>
        <v/>
      </c>
      <c r="K9" s="1044">
        <f>+E9+SUM(G9:J9)</f>
        <v/>
      </c>
      <c r="L9" s="1045">
        <f>K9*$L$7</f>
        <v/>
      </c>
      <c r="M9" s="1045" t="n"/>
      <c r="N9" s="1045">
        <f>K9*$N$7</f>
        <v/>
      </c>
      <c r="O9" s="1045">
        <f>(C9)*$O$7</f>
        <v/>
      </c>
      <c r="P9" s="1045">
        <f>O9/12</f>
        <v/>
      </c>
      <c r="Q9" s="1045">
        <f>(O9+P9)*$Q$7</f>
        <v/>
      </c>
      <c r="R9" s="1045">
        <f>(O9+P9)*$R$7</f>
        <v/>
      </c>
      <c r="S9" s="1045">
        <f>+$S$7</f>
        <v/>
      </c>
      <c r="T9" s="1045" t="n"/>
      <c r="U9" s="1045">
        <f>+$U$7</f>
        <v/>
      </c>
      <c r="V9" s="1045">
        <f>+$V$7</f>
        <v/>
      </c>
      <c r="W9" s="1045">
        <f>+$W$7</f>
        <v/>
      </c>
      <c r="X9" s="1045">
        <f>+$X$7/12</f>
        <v/>
      </c>
      <c r="Y9" s="1045">
        <f>(K9*85%)*$Y$7</f>
        <v/>
      </c>
      <c r="Z9" s="1045">
        <f>+$Z$7</f>
        <v/>
      </c>
      <c r="AA9" s="1045">
        <f>+$AA$7/12</f>
        <v/>
      </c>
      <c r="AB9" s="1045">
        <f>+$AB$7/12</f>
        <v/>
      </c>
      <c r="AC9" s="1045">
        <f>K9*$AC$7</f>
        <v/>
      </c>
      <c r="AD9" s="1045">
        <f>K9*$AD$7</f>
        <v/>
      </c>
      <c r="AE9" s="1045">
        <f>K9*$AE$7</f>
        <v/>
      </c>
      <c r="AF9" s="1045">
        <f>+K9*$AF$7</f>
        <v/>
      </c>
      <c r="AG9" s="1045">
        <f>K9*$AG$7+SUM(C9:D9)*(1/(12*3))</f>
        <v/>
      </c>
      <c r="AH9" s="1045">
        <f>+$AH$7</f>
        <v/>
      </c>
      <c r="AI9" s="1046">
        <f>+SUM(K9:AH9)</f>
        <v/>
      </c>
      <c r="AJ9" s="1046">
        <f>+AI9/$AJ$7</f>
        <v/>
      </c>
      <c r="AL9" s="1045">
        <f>+((C9)-(C9)*17%)</f>
        <v/>
      </c>
      <c r="AM9" s="1045">
        <f>+O9</f>
        <v/>
      </c>
      <c r="AN9" s="1045">
        <f>+D9-D9*17%</f>
        <v/>
      </c>
      <c r="AO9" s="1047">
        <f>+AL9+AM9+AN9</f>
        <v/>
      </c>
      <c r="AQ9" s="1048">
        <f>+AI9/AO9</f>
        <v/>
      </c>
    </row>
    <row r="10" ht="39.9" customHeight="1">
      <c r="B10" s="336" t="inlineStr">
        <is>
          <t>TECNICOS SEGURIDAD</t>
        </is>
      </c>
      <c r="C10" s="1040">
        <f>1.4*400000*2.5*1.3</f>
        <v/>
      </c>
      <c r="D10" s="1040" t="n">
        <v>1000</v>
      </c>
      <c r="E10" s="1041">
        <f>+C10+D10</f>
        <v/>
      </c>
      <c r="F10" s="1042" t="n"/>
      <c r="G10" s="1043">
        <f>+((C10+D10)*$G$7)</f>
        <v/>
      </c>
      <c r="H10" s="1043">
        <f>(C10+D10+G10)/12</f>
        <v/>
      </c>
      <c r="I10" s="1043">
        <f>((SUM(C10:G10)/25)*$I$7)/12</f>
        <v/>
      </c>
      <c r="J10" s="1043">
        <f>((C10/191)*$J$7)/12</f>
        <v/>
      </c>
      <c r="K10" s="1044">
        <f>+E10+SUM(G10:J10)</f>
        <v/>
      </c>
      <c r="L10" s="1045">
        <f>K10*$L$7</f>
        <v/>
      </c>
      <c r="M10" s="1045" t="n"/>
      <c r="N10" s="1045">
        <f>K10*$N$7</f>
        <v/>
      </c>
      <c r="O10" s="1045">
        <f>(C10)*$O$7</f>
        <v/>
      </c>
      <c r="P10" s="1045">
        <f>O10/12</f>
        <v/>
      </c>
      <c r="Q10" s="1045">
        <f>(O10+P10)*$Q$7</f>
        <v/>
      </c>
      <c r="R10" s="1045">
        <f>(O10+P10)*$R$7</f>
        <v/>
      </c>
      <c r="S10" s="1045">
        <f>+$S$7</f>
        <v/>
      </c>
      <c r="T10" s="1045" t="n"/>
      <c r="U10" s="1045">
        <f>+$U$7</f>
        <v/>
      </c>
      <c r="V10" s="1045">
        <f>+$V$7</f>
        <v/>
      </c>
      <c r="W10" s="1045">
        <f>+$W$7</f>
        <v/>
      </c>
      <c r="X10" s="1045">
        <f>+$X$7/12</f>
        <v/>
      </c>
      <c r="Y10" s="1045">
        <f>(K10*85%)*$Y$7</f>
        <v/>
      </c>
      <c r="Z10" s="1045">
        <f>+$Z$7</f>
        <v/>
      </c>
      <c r="AA10" s="1045">
        <f>+$AA$7/12</f>
        <v/>
      </c>
      <c r="AB10" s="1045">
        <f>+$AB$7/12</f>
        <v/>
      </c>
      <c r="AC10" s="1045">
        <f>K10*$AC$7</f>
        <v/>
      </c>
      <c r="AD10" s="1045">
        <f>K10*$AD$7</f>
        <v/>
      </c>
      <c r="AE10" s="1045">
        <f>K10*$AE$7</f>
        <v/>
      </c>
      <c r="AF10" s="1045">
        <f>+K10*$AF$7</f>
        <v/>
      </c>
      <c r="AG10" s="1045">
        <f>K10*$AG$7+SUM(C10:D10)*(1/(12*3))</f>
        <v/>
      </c>
      <c r="AH10" s="1045">
        <f>+$AH$7</f>
        <v/>
      </c>
      <c r="AI10" s="1046">
        <f>+SUM(K10:AH10)</f>
        <v/>
      </c>
      <c r="AJ10" s="1046">
        <f>+AI10/$AJ$7</f>
        <v/>
      </c>
      <c r="AL10" s="1045">
        <f>+((C10)-(C10)*17%)</f>
        <v/>
      </c>
      <c r="AM10" s="1045">
        <f>+O10</f>
        <v/>
      </c>
      <c r="AN10" s="1045">
        <f>+D10-D10*17%</f>
        <v/>
      </c>
      <c r="AO10" s="1047">
        <f>+AL10+AM10+AN10</f>
        <v/>
      </c>
      <c r="AQ10" s="1048">
        <f>+AI10/AO10</f>
        <v/>
      </c>
    </row>
    <row r="11" ht="39.9" customHeight="1">
      <c r="A11">
        <f>15000000/0.83</f>
        <v/>
      </c>
      <c r="B11" s="336" t="inlineStr">
        <is>
          <t>SUPERVISOR</t>
        </is>
      </c>
      <c r="C11" s="1040">
        <f>1.4*300000*2*2.2</f>
        <v/>
      </c>
      <c r="D11" s="1040" t="n">
        <v>1000</v>
      </c>
      <c r="E11" s="1041">
        <f>+C11+D11</f>
        <v/>
      </c>
      <c r="F11" s="1042" t="n"/>
      <c r="G11" s="1043">
        <f>+((C11+D11)*$G$7)</f>
        <v/>
      </c>
      <c r="H11" s="1043">
        <f>(C11+D11+G11)/12</f>
        <v/>
      </c>
      <c r="I11" s="1043">
        <f>((SUM(C11:G11)/25)*$I$7)/12</f>
        <v/>
      </c>
      <c r="J11" s="1043">
        <f>((C11/191)*$J$7)/12</f>
        <v/>
      </c>
      <c r="K11" s="1044">
        <f>+E11+SUM(G11:J11)</f>
        <v/>
      </c>
      <c r="L11" s="1045">
        <f>K11*$L$7</f>
        <v/>
      </c>
      <c r="M11" s="1045" t="n"/>
      <c r="N11" s="1045">
        <f>K11*$N$7</f>
        <v/>
      </c>
      <c r="O11" s="1045">
        <f>(C11)*$O$7</f>
        <v/>
      </c>
      <c r="P11" s="1045">
        <f>O11/12</f>
        <v/>
      </c>
      <c r="Q11" s="1045">
        <f>(O11+P11)*$Q$7</f>
        <v/>
      </c>
      <c r="R11" s="1045">
        <f>(O11+P11)*$R$7</f>
        <v/>
      </c>
      <c r="S11" s="1045">
        <f>+$S$7</f>
        <v/>
      </c>
      <c r="T11" s="1045" t="n"/>
      <c r="U11" s="1045">
        <f>+$U$7</f>
        <v/>
      </c>
      <c r="V11" s="1045">
        <f>+$V$7</f>
        <v/>
      </c>
      <c r="W11" s="1045">
        <f>+$W$7</f>
        <v/>
      </c>
      <c r="X11" s="1045">
        <f>+$X$7/12</f>
        <v/>
      </c>
      <c r="Y11" s="1045">
        <f>(K11*85%)*$Y$7</f>
        <v/>
      </c>
      <c r="Z11" s="1045">
        <f>+$Z$7</f>
        <v/>
      </c>
      <c r="AA11" s="1045">
        <f>+$AA$7/12</f>
        <v/>
      </c>
      <c r="AB11" s="1045">
        <f>+$AB$7/12</f>
        <v/>
      </c>
      <c r="AC11" s="1045">
        <f>K11*$AC$7</f>
        <v/>
      </c>
      <c r="AD11" s="1045">
        <f>K11*$AD$7</f>
        <v/>
      </c>
      <c r="AE11" s="1045">
        <f>K11*$AE$7</f>
        <v/>
      </c>
      <c r="AF11" s="1045">
        <f>+K11*$AF$7</f>
        <v/>
      </c>
      <c r="AG11" s="1045">
        <f>K11*$AG$7+SUM(C11:D11)*(1/(12*3))</f>
        <v/>
      </c>
      <c r="AH11" s="1045">
        <f>+$AH$7</f>
        <v/>
      </c>
      <c r="AI11" s="1046">
        <f>+SUM(K11:AH11)</f>
        <v/>
      </c>
      <c r="AJ11" s="1046">
        <f>+AI11/$AJ$7</f>
        <v/>
      </c>
      <c r="AL11" s="1045">
        <f>+((C11)-(C11)*17%)</f>
        <v/>
      </c>
      <c r="AM11" s="1045">
        <f>+O11</f>
        <v/>
      </c>
      <c r="AN11" s="1045">
        <f>+D11-D11*17%</f>
        <v/>
      </c>
      <c r="AO11" s="1047">
        <f>+AL11+AM11+AN11</f>
        <v/>
      </c>
      <c r="AQ11" s="1048">
        <f>+AI11/AO11</f>
        <v/>
      </c>
    </row>
    <row r="12" ht="39.9" customHeight="1">
      <c r="B12" s="336" t="inlineStr">
        <is>
          <t>ADMINISTRATIVO</t>
        </is>
      </c>
      <c r="C12" s="1040">
        <f>1.4*250000*2*1.5</f>
        <v/>
      </c>
      <c r="D12" s="1040" t="n">
        <v>1000</v>
      </c>
      <c r="E12" s="1041">
        <f>+C12+D12</f>
        <v/>
      </c>
      <c r="F12" s="1042" t="n"/>
      <c r="G12" s="1043">
        <f>+((C12+D12)*$G$7)</f>
        <v/>
      </c>
      <c r="H12" s="1043">
        <f>(C12+D12+G12)/12</f>
        <v/>
      </c>
      <c r="I12" s="1043">
        <f>((SUM(C12:G12)/25)*$I$7)/12</f>
        <v/>
      </c>
      <c r="J12" s="1043">
        <f>((C12/191)*$J$7)/12</f>
        <v/>
      </c>
      <c r="K12" s="1044">
        <f>+E12+SUM(G12:J12)</f>
        <v/>
      </c>
      <c r="L12" s="1045">
        <f>K12*$L$7</f>
        <v/>
      </c>
      <c r="M12" s="1045" t="n"/>
      <c r="N12" s="1045">
        <f>K12*$N$7</f>
        <v/>
      </c>
      <c r="O12" s="1045">
        <f>(C12)*$O$7</f>
        <v/>
      </c>
      <c r="P12" s="1045">
        <f>O12/12</f>
        <v/>
      </c>
      <c r="Q12" s="1045">
        <f>(O12+P12)*$Q$7</f>
        <v/>
      </c>
      <c r="R12" s="1045">
        <f>(O12+P12)*$R$7</f>
        <v/>
      </c>
      <c r="S12" s="1045">
        <f>+$S$7</f>
        <v/>
      </c>
      <c r="T12" s="1045" t="n"/>
      <c r="U12" s="1045">
        <f>+$U$7</f>
        <v/>
      </c>
      <c r="V12" s="1045">
        <f>+$V$7</f>
        <v/>
      </c>
      <c r="W12" s="1045">
        <f>+$W$7</f>
        <v/>
      </c>
      <c r="X12" s="1045">
        <f>+$X$7/12</f>
        <v/>
      </c>
      <c r="Y12" s="1045">
        <f>(K12*85%)*$Y$7</f>
        <v/>
      </c>
      <c r="Z12" s="1045">
        <f>+$Z$7</f>
        <v/>
      </c>
      <c r="AA12" s="1045">
        <f>+$AA$7/12</f>
        <v/>
      </c>
      <c r="AB12" s="1045">
        <f>+$AB$7/12</f>
        <v/>
      </c>
      <c r="AC12" s="1045">
        <f>K12*$AC$7</f>
        <v/>
      </c>
      <c r="AD12" s="1045">
        <f>K12*$AD$7</f>
        <v/>
      </c>
      <c r="AE12" s="1045">
        <f>K12*$AE$7</f>
        <v/>
      </c>
      <c r="AF12" s="1045">
        <f>+K12*$AF$7</f>
        <v/>
      </c>
      <c r="AG12" s="1045">
        <f>K12*$AG$7+SUM(C12:D12)*(1/(12*3))</f>
        <v/>
      </c>
      <c r="AH12" s="1045">
        <f>+$AH$7</f>
        <v/>
      </c>
      <c r="AI12" s="1046">
        <f>+SUM(K12:AH12)</f>
        <v/>
      </c>
      <c r="AJ12" s="1046">
        <f>+AI12/$AJ$7</f>
        <v/>
      </c>
      <c r="AL12" s="1045">
        <f>+((C12)-(C12)*17%)</f>
        <v/>
      </c>
      <c r="AM12" s="1045">
        <f>+O12</f>
        <v/>
      </c>
      <c r="AN12" s="1045">
        <f>+D12-D12*17%</f>
        <v/>
      </c>
      <c r="AO12" s="1047">
        <f>+AL12+AM12+AN12</f>
        <v/>
      </c>
      <c r="AQ12" s="1048">
        <f>+AI12/AO12</f>
        <v/>
      </c>
    </row>
    <row r="13" ht="39.9" customHeight="1">
      <c r="B13" s="336" t="inlineStr">
        <is>
          <t>PAÑOLERO</t>
        </is>
      </c>
      <c r="C13" s="1040">
        <f>1.4*250000*2*1.5</f>
        <v/>
      </c>
      <c r="D13" s="1040" t="n">
        <v>1000</v>
      </c>
      <c r="E13" s="1041">
        <f>+C13+D13</f>
        <v/>
      </c>
      <c r="F13" s="1042" t="n"/>
      <c r="G13" s="1043">
        <f>+((C13+D13)*$G$7)</f>
        <v/>
      </c>
      <c r="H13" s="1043">
        <f>(C13+D13+G13)/12</f>
        <v/>
      </c>
      <c r="I13" s="1043">
        <f>((SUM(C13:G13)/25)*$I$7)/12</f>
        <v/>
      </c>
      <c r="J13" s="1043">
        <f>((C13/191)*$J$7)/12</f>
        <v/>
      </c>
      <c r="K13" s="1044">
        <f>+E13+SUM(G13:J13)</f>
        <v/>
      </c>
      <c r="L13" s="1045">
        <f>K13*$L$7</f>
        <v/>
      </c>
      <c r="M13" s="1045" t="n"/>
      <c r="N13" s="1045">
        <f>K13*$N$7</f>
        <v/>
      </c>
      <c r="O13" s="1045">
        <f>(C13)*$O$7</f>
        <v/>
      </c>
      <c r="P13" s="1045">
        <f>O13/12</f>
        <v/>
      </c>
      <c r="Q13" s="1045">
        <f>(O13+P13)*$Q$7</f>
        <v/>
      </c>
      <c r="R13" s="1045">
        <f>(O13+P13)*$R$7</f>
        <v/>
      </c>
      <c r="S13" s="1045">
        <f>+$S$7</f>
        <v/>
      </c>
      <c r="T13" s="1045" t="n"/>
      <c r="U13" s="1045">
        <f>+$U$7</f>
        <v/>
      </c>
      <c r="V13" s="1045">
        <f>+$V$7</f>
        <v/>
      </c>
      <c r="W13" s="1045">
        <f>+$W$7</f>
        <v/>
      </c>
      <c r="X13" s="1045">
        <f>+$X$7/12</f>
        <v/>
      </c>
      <c r="Y13" s="1045">
        <f>(K13*85%)*$Y$7</f>
        <v/>
      </c>
      <c r="Z13" s="1045">
        <f>+$Z$7</f>
        <v/>
      </c>
      <c r="AA13" s="1045">
        <f>+$AA$7/12</f>
        <v/>
      </c>
      <c r="AB13" s="1045">
        <f>+$AB$7/12</f>
        <v/>
      </c>
      <c r="AC13" s="1045">
        <f>K13*$AC$7</f>
        <v/>
      </c>
      <c r="AD13" s="1045">
        <f>K13*$AD$7</f>
        <v/>
      </c>
      <c r="AE13" s="1045">
        <f>K13*$AE$7</f>
        <v/>
      </c>
      <c r="AF13" s="1045">
        <f>+K13*$AF$7</f>
        <v/>
      </c>
      <c r="AG13" s="1045">
        <f>K13*$AG$7+SUM(C13:D13)*(1/(12*3))</f>
        <v/>
      </c>
      <c r="AH13" s="1045">
        <f>+$AH$7</f>
        <v/>
      </c>
      <c r="AI13" s="1046">
        <f>+SUM(K13:AH13)</f>
        <v/>
      </c>
      <c r="AJ13" s="1046">
        <f>+AI13/$AJ$7</f>
        <v/>
      </c>
      <c r="AL13" s="1045">
        <f>+((C13)-(C13)*17%)</f>
        <v/>
      </c>
      <c r="AM13" s="1045">
        <f>+O13</f>
        <v/>
      </c>
      <c r="AN13" s="1045">
        <f>+D13-D13*17%</f>
        <v/>
      </c>
      <c r="AO13" s="1047">
        <f>+AL13+AM13+AN13</f>
        <v/>
      </c>
      <c r="AQ13" s="1048">
        <f>+AI13/AO13</f>
        <v/>
      </c>
    </row>
    <row r="14" ht="39.9" customHeight="1">
      <c r="B14" s="336" t="inlineStr">
        <is>
          <t>CHOFER</t>
        </is>
      </c>
      <c r="C14" s="1040">
        <f>1.4*250000*2*1.5</f>
        <v/>
      </c>
      <c r="D14" s="1040" t="n">
        <v>1000</v>
      </c>
      <c r="E14" s="1041">
        <f>+C14+D14</f>
        <v/>
      </c>
      <c r="F14" s="1042" t="n"/>
      <c r="G14" s="1043">
        <f>+((C14+D14)*$G$7)</f>
        <v/>
      </c>
      <c r="H14" s="1043">
        <f>(C14+D14+G14)/12</f>
        <v/>
      </c>
      <c r="I14" s="1043">
        <f>((SUM(C14:G14)/25)*$I$7)/12</f>
        <v/>
      </c>
      <c r="J14" s="1043">
        <f>((C14/191)*$J$7)/12</f>
        <v/>
      </c>
      <c r="K14" s="1044">
        <f>+E14+SUM(G14:J14)</f>
        <v/>
      </c>
      <c r="L14" s="1045">
        <f>K14*$L$7</f>
        <v/>
      </c>
      <c r="M14" s="1045" t="n"/>
      <c r="N14" s="1045">
        <f>K14*$N$7</f>
        <v/>
      </c>
      <c r="O14" s="1045">
        <f>(C14)*$O$7</f>
        <v/>
      </c>
      <c r="P14" s="1045">
        <f>O14/12</f>
        <v/>
      </c>
      <c r="Q14" s="1045">
        <f>(O14+P14)*$Q$7</f>
        <v/>
      </c>
      <c r="R14" s="1045">
        <f>(O14+P14)*$R$7</f>
        <v/>
      </c>
      <c r="S14" s="1045">
        <f>+$S$7</f>
        <v/>
      </c>
      <c r="T14" s="1045" t="n"/>
      <c r="U14" s="1045">
        <f>+$U$7</f>
        <v/>
      </c>
      <c r="V14" s="1045">
        <f>+$V$7</f>
        <v/>
      </c>
      <c r="W14" s="1045">
        <f>+$W$7</f>
        <v/>
      </c>
      <c r="X14" s="1045">
        <f>+$X$7/12</f>
        <v/>
      </c>
      <c r="Y14" s="1045">
        <f>(K14*85%)*$Y$7</f>
        <v/>
      </c>
      <c r="Z14" s="1045">
        <f>+$Z$7</f>
        <v/>
      </c>
      <c r="AA14" s="1045">
        <f>+$AA$7/12</f>
        <v/>
      </c>
      <c r="AB14" s="1045">
        <f>+$AB$7/12</f>
        <v/>
      </c>
      <c r="AC14" s="1045">
        <f>K14*$AC$7</f>
        <v/>
      </c>
      <c r="AD14" s="1045">
        <f>K14*$AD$7</f>
        <v/>
      </c>
      <c r="AE14" s="1045">
        <f>K14*$AE$7</f>
        <v/>
      </c>
      <c r="AF14" s="1045">
        <f>+K14*$AF$7</f>
        <v/>
      </c>
      <c r="AG14" s="1045">
        <f>K14*$AG$7+SUM(C14:D14)*(1/(12*3))</f>
        <v/>
      </c>
      <c r="AH14" s="1045">
        <f>+$AH$7</f>
        <v/>
      </c>
      <c r="AI14" s="1046">
        <f>+SUM(K14:AH14)</f>
        <v/>
      </c>
      <c r="AJ14" s="1046">
        <f>+AI14/$AJ$7</f>
        <v/>
      </c>
      <c r="AL14" s="1045">
        <f>+((C14)-(C14)*17%)</f>
        <v/>
      </c>
      <c r="AM14" s="1045">
        <f>+O14</f>
        <v/>
      </c>
      <c r="AN14" s="1045">
        <f>+D14-D14*17%</f>
        <v/>
      </c>
      <c r="AO14" s="1047">
        <f>+AL14+AM14+AN14</f>
        <v/>
      </c>
      <c r="AQ14" s="1048">
        <f>+AI14/AO14</f>
        <v/>
      </c>
    </row>
    <row r="15" ht="39.9" customHeight="1">
      <c r="B15" s="336" t="inlineStr">
        <is>
          <t>LIMPIEZA</t>
        </is>
      </c>
      <c r="C15" s="1040">
        <f>1.4*250000*2*1.5</f>
        <v/>
      </c>
      <c r="D15" s="1040" t="n">
        <v>1000</v>
      </c>
      <c r="E15" s="1041">
        <f>+C15+D15</f>
        <v/>
      </c>
      <c r="F15" s="1042" t="n"/>
      <c r="G15" s="1043">
        <f>+((C15+D15)*$G$7)</f>
        <v/>
      </c>
      <c r="H15" s="1043">
        <f>(C15+D15+G15)/12</f>
        <v/>
      </c>
      <c r="I15" s="1043">
        <f>((SUM(C15:G15)/25)*$I$7)/12</f>
        <v/>
      </c>
      <c r="J15" s="1043">
        <f>((C15/191)*$J$7)/12</f>
        <v/>
      </c>
      <c r="K15" s="1044">
        <f>+E15+SUM(G15:J15)</f>
        <v/>
      </c>
      <c r="L15" s="1045">
        <f>K15*$L$7</f>
        <v/>
      </c>
      <c r="M15" s="1045" t="n"/>
      <c r="N15" s="1045">
        <f>K15*$N$7</f>
        <v/>
      </c>
      <c r="O15" s="1045">
        <f>(C15)*$O$7</f>
        <v/>
      </c>
      <c r="P15" s="1045">
        <f>O15/12</f>
        <v/>
      </c>
      <c r="Q15" s="1045">
        <f>(O15+P15)*$Q$7</f>
        <v/>
      </c>
      <c r="R15" s="1045">
        <f>(O15+P15)*$R$7</f>
        <v/>
      </c>
      <c r="S15" s="1045">
        <f>+$S$7</f>
        <v/>
      </c>
      <c r="T15" s="1045" t="n"/>
      <c r="U15" s="1045">
        <f>+$U$7</f>
        <v/>
      </c>
      <c r="V15" s="1045">
        <f>+$V$7</f>
        <v/>
      </c>
      <c r="W15" s="1045">
        <f>+$W$7</f>
        <v/>
      </c>
      <c r="X15" s="1045">
        <f>+$X$7/12</f>
        <v/>
      </c>
      <c r="Y15" s="1045">
        <f>(K15*85%)*$Y$7</f>
        <v/>
      </c>
      <c r="Z15" s="1045">
        <f>+$Z$7</f>
        <v/>
      </c>
      <c r="AA15" s="1045">
        <f>+$AA$7/12</f>
        <v/>
      </c>
      <c r="AB15" s="1045">
        <f>+$AB$7/12</f>
        <v/>
      </c>
      <c r="AC15" s="1045">
        <f>K15*$AC$7</f>
        <v/>
      </c>
      <c r="AD15" s="1045">
        <f>K15*$AD$7</f>
        <v/>
      </c>
      <c r="AE15" s="1045">
        <f>K15*$AE$7</f>
        <v/>
      </c>
      <c r="AF15" s="1045">
        <f>+K15*$AF$7</f>
        <v/>
      </c>
      <c r="AG15" s="1045">
        <f>K15*$AG$7+SUM(C15:D15)*(1/(12*3))</f>
        <v/>
      </c>
      <c r="AH15" s="1045">
        <f>+$AH$7</f>
        <v/>
      </c>
      <c r="AI15" s="1046">
        <f>+SUM(K15:AH15)</f>
        <v/>
      </c>
      <c r="AJ15" s="1046">
        <f>+AI15/$AJ$7</f>
        <v/>
      </c>
      <c r="AL15" s="1045">
        <f>+((C15)-(C15)*17%)</f>
        <v/>
      </c>
      <c r="AM15" s="1045">
        <f>+O15</f>
        <v/>
      </c>
      <c r="AN15" s="1045">
        <f>+D15-D15*17%</f>
        <v/>
      </c>
      <c r="AO15" s="1047">
        <f>+AL15+AM15+AN15</f>
        <v/>
      </c>
      <c r="AQ15" s="1048">
        <f>+AI15/AO15</f>
        <v/>
      </c>
    </row>
    <row r="16" ht="39.9" customHeight="1">
      <c r="B16" s="336" t="n"/>
      <c r="C16" s="1040" t="n"/>
      <c r="D16" s="1040" t="n"/>
      <c r="E16" s="1041" t="n"/>
      <c r="F16" s="1042" t="n"/>
      <c r="G16" s="1043" t="n"/>
      <c r="H16" s="1043" t="n"/>
      <c r="I16" s="1043" t="n"/>
      <c r="J16" s="1043" t="n"/>
      <c r="K16" s="1044" t="n"/>
      <c r="L16" s="1045" t="n"/>
      <c r="M16" s="1045" t="n"/>
      <c r="N16" s="1045" t="n"/>
      <c r="O16" s="1045" t="n"/>
      <c r="P16" s="1045" t="n"/>
      <c r="Q16" s="1045" t="n"/>
      <c r="R16" s="1045" t="n"/>
      <c r="S16" s="1045" t="n"/>
      <c r="T16" s="1045" t="n"/>
      <c r="U16" s="1045" t="n"/>
      <c r="V16" s="1045" t="n"/>
      <c r="W16" s="1045" t="n"/>
      <c r="X16" s="1045" t="n"/>
      <c r="Y16" s="1045" t="n"/>
      <c r="Z16" s="1045" t="n"/>
      <c r="AA16" s="1045" t="n"/>
      <c r="AB16" s="1045" t="n"/>
      <c r="AC16" s="1045" t="n"/>
      <c r="AD16" s="1045" t="n"/>
      <c r="AE16" s="1045" t="n"/>
      <c r="AF16" s="1045" t="n"/>
      <c r="AG16" s="1045" t="n"/>
      <c r="AH16" s="1045" t="n"/>
      <c r="AI16" s="1046" t="n"/>
      <c r="AJ16" s="1046" t="n"/>
      <c r="AL16" s="1045" t="n"/>
      <c r="AM16" s="1045" t="n"/>
      <c r="AN16" s="1045" t="n"/>
      <c r="AO16" s="1047" t="n"/>
      <c r="AQ16" s="1048" t="n"/>
    </row>
    <row r="17" ht="39.9" customHeight="1">
      <c r="B17" s="336" t="n"/>
      <c r="C17" s="1040" t="n"/>
      <c r="D17" s="1040" t="n"/>
      <c r="E17" s="1041" t="n"/>
      <c r="F17" s="1042" t="n"/>
      <c r="G17" s="1043" t="n"/>
      <c r="H17" s="1043" t="n"/>
      <c r="I17" s="1043" t="n"/>
      <c r="J17" s="1043" t="n"/>
      <c r="K17" s="1044" t="n"/>
      <c r="L17" s="1045" t="n"/>
      <c r="M17" s="1045" t="n"/>
      <c r="N17" s="1045" t="n"/>
      <c r="O17" s="1045" t="n"/>
      <c r="P17" s="1045" t="n"/>
      <c r="Q17" s="1045" t="n"/>
      <c r="R17" s="1045" t="n"/>
      <c r="S17" s="1045" t="n"/>
      <c r="T17" s="1045" t="n"/>
      <c r="U17" s="1045" t="n"/>
      <c r="V17" s="1045" t="n"/>
      <c r="W17" s="1045" t="n"/>
      <c r="X17" s="1045" t="n"/>
      <c r="Y17" s="1045" t="n"/>
      <c r="Z17" s="1045" t="n"/>
      <c r="AA17" s="1045" t="n"/>
      <c r="AB17" s="1045" t="n"/>
      <c r="AC17" s="1045" t="n"/>
      <c r="AD17" s="1045" t="n"/>
      <c r="AE17" s="1045" t="n"/>
      <c r="AF17" s="1045" t="n"/>
      <c r="AG17" s="1045" t="n"/>
      <c r="AH17" s="1045" t="n"/>
      <c r="AI17" s="1046" t="n"/>
      <c r="AJ17" s="1046" t="n"/>
      <c r="AL17" s="1045" t="n"/>
      <c r="AM17" s="1045" t="n"/>
      <c r="AN17" s="1045" t="n"/>
      <c r="AO17" s="1047" t="n"/>
      <c r="AQ17" s="1048" t="n"/>
    </row>
    <row r="18" ht="15.6" customHeight="1">
      <c r="B18" s="450" t="n"/>
      <c r="C18" s="1049" t="n"/>
      <c r="D18" s="1049" t="n"/>
      <c r="E18" s="1050" t="n"/>
    </row>
    <row r="19" ht="15.6" customHeight="1">
      <c r="B19" s="450" t="n"/>
      <c r="C19" s="1049" t="n"/>
      <c r="D19" s="1049" t="n"/>
      <c r="E19" s="1050" t="n"/>
    </row>
    <row r="20" ht="15.6" customHeight="1">
      <c r="B20" s="450" t="n"/>
      <c r="C20" s="1049" t="n"/>
      <c r="D20" s="1049" t="n"/>
      <c r="E20" s="1050" t="n"/>
    </row>
    <row r="21" ht="15.6" customHeight="1">
      <c r="B21" s="450" t="n"/>
      <c r="C21" s="1049" t="n"/>
      <c r="D21" s="1049" t="n"/>
      <c r="E21" s="1050" t="n"/>
    </row>
    <row r="23" ht="15.6" customHeight="1">
      <c r="B23" s="193" t="n"/>
      <c r="C23" s="1051" t="n"/>
      <c r="D23" s="1051" t="n"/>
      <c r="E23" s="1050" t="n"/>
    </row>
    <row r="24" ht="15.6" customHeight="1">
      <c r="B24" s="193" t="n"/>
      <c r="C24" s="1051" t="n"/>
      <c r="D24" s="1051" t="n"/>
      <c r="E24" s="1050" t="n"/>
    </row>
    <row r="27">
      <c r="C27" s="777" t="n"/>
      <c r="F27" s="62" t="n"/>
      <c r="G27" s="777" t="n"/>
    </row>
    <row r="28">
      <c r="C28" s="823" t="n"/>
      <c r="D28" s="823" t="n"/>
      <c r="E28" s="823" t="n"/>
      <c r="F28" s="823" t="n"/>
      <c r="G28" s="823" t="n"/>
      <c r="H28" s="823" t="n"/>
      <c r="I28" s="823" t="n"/>
      <c r="J28" s="823" t="n"/>
      <c r="K28" s="823" t="n"/>
    </row>
    <row r="29">
      <c r="B29" s="450" t="n"/>
      <c r="C29" s="861" t="n"/>
      <c r="D29" s="861" t="n"/>
      <c r="E29" s="861" t="n"/>
      <c r="G29" s="423" t="n"/>
      <c r="H29" s="423" t="n"/>
      <c r="I29" s="423" t="n"/>
      <c r="J29" s="423" t="n"/>
      <c r="K29" s="861" t="n"/>
    </row>
    <row r="30">
      <c r="B30" s="450" t="n"/>
      <c r="C30" s="861" t="n"/>
      <c r="D30" s="861" t="n"/>
      <c r="E30" s="861" t="n"/>
      <c r="G30" s="423" t="n"/>
      <c r="H30" s="423" t="n"/>
      <c r="I30" s="423" t="n"/>
      <c r="J30" s="423" t="n"/>
      <c r="K30" s="861" t="n"/>
    </row>
    <row r="31">
      <c r="B31" s="450" t="n"/>
      <c r="C31" s="861" t="n"/>
      <c r="D31" s="861" t="n"/>
      <c r="E31" s="861" t="n"/>
      <c r="G31" s="423" t="n"/>
      <c r="H31" s="423" t="n"/>
      <c r="I31" s="423" t="n"/>
      <c r="J31" s="423" t="n"/>
      <c r="K31" s="861" t="n"/>
    </row>
    <row r="32">
      <c r="B32" s="450" t="n"/>
      <c r="C32" s="861" t="n"/>
      <c r="D32" s="861" t="n"/>
      <c r="E32" s="861" t="n"/>
      <c r="G32" s="423" t="n"/>
      <c r="H32" s="423" t="n"/>
      <c r="I32" s="423" t="n"/>
      <c r="J32" s="423" t="n"/>
      <c r="K32" s="861" t="n"/>
    </row>
    <row r="33">
      <c r="B33" s="450" t="n"/>
      <c r="C33" s="861" t="n"/>
      <c r="D33" s="861" t="n"/>
      <c r="E33" s="861" t="n"/>
      <c r="G33" s="423" t="n"/>
      <c r="H33" s="423" t="n"/>
      <c r="I33" s="423" t="n"/>
      <c r="J33" s="423" t="n"/>
      <c r="K33" s="861" t="n"/>
    </row>
    <row r="34">
      <c r="B34" s="450" t="n"/>
      <c r="C34" s="861" t="n"/>
      <c r="D34" s="861" t="n"/>
      <c r="E34" s="861" t="n"/>
      <c r="G34" s="423" t="n"/>
      <c r="H34" s="423" t="n"/>
      <c r="I34" s="423" t="n"/>
      <c r="J34" s="423" t="n"/>
      <c r="K34" s="861" t="n"/>
    </row>
    <row r="35">
      <c r="B35" s="450" t="n"/>
      <c r="C35" s="861" t="n"/>
      <c r="D35" s="861" t="n"/>
      <c r="E35" s="861" t="n"/>
      <c r="G35" s="423" t="n"/>
      <c r="H35" s="423" t="n"/>
      <c r="I35" s="423" t="n"/>
      <c r="J35" s="423" t="n"/>
      <c r="K35" s="861" t="n"/>
    </row>
    <row r="36">
      <c r="B36" s="450" t="n"/>
      <c r="C36" s="861" t="n"/>
      <c r="D36" s="861" t="n"/>
      <c r="E36" s="861" t="n"/>
      <c r="G36" s="423" t="n"/>
      <c r="H36" s="423" t="n"/>
      <c r="I36" s="423" t="n"/>
      <c r="J36" s="423" t="n"/>
      <c r="K36" s="861" t="n"/>
    </row>
    <row r="37">
      <c r="B37" s="450" t="n"/>
      <c r="C37" s="861" t="n"/>
      <c r="D37" s="861" t="n"/>
      <c r="E37" s="861" t="n"/>
      <c r="G37" s="423" t="n"/>
      <c r="H37" s="423" t="n"/>
      <c r="I37" s="423" t="n"/>
      <c r="J37" s="423" t="n"/>
      <c r="K37" s="861" t="n"/>
    </row>
    <row r="38">
      <c r="B38" s="450" t="n"/>
      <c r="C38" s="861" t="n"/>
      <c r="D38" s="861" t="n"/>
      <c r="E38" s="861" t="n"/>
      <c r="G38" s="423" t="n"/>
      <c r="H38" s="423" t="n"/>
      <c r="I38" s="423" t="n"/>
      <c r="J38" s="423" t="n"/>
      <c r="K38" s="861" t="n"/>
    </row>
    <row r="39">
      <c r="K39" s="997" t="n"/>
    </row>
    <row r="40">
      <c r="D40" s="823" t="n"/>
    </row>
    <row r="41">
      <c r="D41" s="861" t="n"/>
      <c r="K41" s="997" t="n"/>
    </row>
    <row r="42">
      <c r="D42" s="861" t="n"/>
    </row>
    <row r="43" ht="16.8" customHeight="1">
      <c r="D43" s="861" t="n"/>
      <c r="K43" s="985" t="n"/>
    </row>
    <row r="44">
      <c r="D44" s="861" t="n"/>
    </row>
    <row r="45">
      <c r="D45" s="861" t="n"/>
    </row>
    <row r="47">
      <c r="D47" s="997" t="n"/>
      <c r="M47" s="1052" t="n"/>
    </row>
    <row r="49" ht="39.75" customHeight="1">
      <c r="B49" s="450" t="n"/>
      <c r="C49" s="1050" t="n"/>
      <c r="D49" s="1050" t="n"/>
      <c r="E49" s="1053" t="n"/>
      <c r="F49" s="1050" t="n"/>
      <c r="G49" s="1054" t="n"/>
      <c r="H49" s="1054" t="n"/>
      <c r="I49" s="1054" t="n"/>
      <c r="J49" s="1054" t="n"/>
      <c r="K49" s="1050" t="n"/>
      <c r="L49" s="1055" t="n"/>
      <c r="M49" s="1055" t="n"/>
      <c r="N49" s="1055" t="n"/>
      <c r="O49" s="1055" t="n"/>
      <c r="P49" s="1055" t="n"/>
      <c r="Q49" s="1055" t="n"/>
      <c r="R49" s="1055" t="n"/>
      <c r="S49" s="1055" t="n"/>
      <c r="T49" s="1055" t="n"/>
      <c r="U49" s="1055" t="n"/>
      <c r="V49" s="1055" t="n"/>
      <c r="W49" s="1055" t="n"/>
      <c r="X49" s="1055" t="n"/>
      <c r="Y49" s="1055" t="n"/>
      <c r="Z49" s="1055" t="n"/>
      <c r="AA49" s="1055" t="n"/>
      <c r="AB49" s="1055" t="n"/>
      <c r="AC49" s="1055" t="n"/>
      <c r="AD49" s="1055" t="n"/>
      <c r="AE49" s="1055" t="n"/>
      <c r="AF49" s="1055" t="n"/>
      <c r="AG49" s="1055" t="n"/>
      <c r="AH49" s="1055" t="n"/>
      <c r="AI49" s="1056" t="n"/>
      <c r="AJ49" s="1056" t="n"/>
      <c r="AL49" s="1055" t="n"/>
      <c r="AM49" s="1055" t="n"/>
      <c r="AN49" s="1055" t="n"/>
      <c r="AO49" s="1057" t="n"/>
      <c r="AQ49" s="1058" t="n"/>
    </row>
  </sheetData>
  <mergeCells count="16">
    <mergeCell ref="G27:J27"/>
    <mergeCell ref="C27:E27"/>
    <mergeCell ref="AM6:AM7"/>
    <mergeCell ref="AL6:AL7"/>
    <mergeCell ref="AN6:AN7"/>
    <mergeCell ref="H6:H7"/>
    <mergeCell ref="K6:K7"/>
    <mergeCell ref="P6:P7"/>
    <mergeCell ref="E6:E7"/>
    <mergeCell ref="C6:C7"/>
    <mergeCell ref="AI6:AI7"/>
    <mergeCell ref="D6:D7"/>
    <mergeCell ref="B6:B7"/>
    <mergeCell ref="AO6:AO7"/>
    <mergeCell ref="F6:F7"/>
    <mergeCell ref="AQ6:AQ7"/>
  </mergeCells>
  <pageMargins left="0.42" right="0.75" top="0.8100000000000001" bottom="1" header="0" footer="0"/>
  <pageSetup orientation="landscape" paperSize="9" scale="26" horizontalDpi="4294967293" verticalDpi="2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52"/>
  <sheetViews>
    <sheetView view="pageBreakPreview" topLeftCell="A42" zoomScale="75" zoomScaleNormal="75" zoomScaleSheetLayoutView="100" workbookViewId="0">
      <selection activeCell="B4" sqref="B4"/>
    </sheetView>
  </sheetViews>
  <sheetFormatPr baseColWidth="10" defaultColWidth="11.44140625" defaultRowHeight="13.2"/>
  <cols>
    <col width="11.44140625" customWidth="1" style="4" min="1" max="1"/>
    <col width="23.109375" bestFit="1" customWidth="1" style="13" min="2" max="2"/>
    <col width="66.6640625" bestFit="1" customWidth="1" style="40" min="3" max="3"/>
    <col width="15.6640625" customWidth="1" style="13" min="4" max="4"/>
    <col width="4.6640625" bestFit="1" customWidth="1" style="13" min="5" max="5"/>
    <col width="15.33203125" customWidth="1" style="4" min="6" max="6"/>
    <col width="23.44140625" bestFit="1" customWidth="1" style="4" min="7" max="7"/>
    <col width="11.44140625" customWidth="1" style="4" min="8" max="16384"/>
  </cols>
  <sheetData>
    <row r="1" ht="30" customHeight="1">
      <c r="B1" s="192" t="n"/>
      <c r="C1" s="613" t="inlineStr">
        <is>
          <t>2 - SUMINISTRO DE MATERIALES</t>
        </is>
      </c>
      <c r="D1" s="99" t="n"/>
      <c r="E1" s="99" t="n"/>
      <c r="F1" s="99" t="n"/>
      <c r="G1" s="31" t="n"/>
    </row>
    <row r="2" ht="8.25" customHeight="1">
      <c r="B2" s="207" t="n"/>
      <c r="C2" s="205" t="n"/>
      <c r="D2" s="205" t="n"/>
      <c r="E2" s="205" t="n"/>
      <c r="F2" s="205" t="n"/>
      <c r="G2" s="19" t="n"/>
    </row>
    <row r="3">
      <c r="B3" s="590" t="inlineStr">
        <is>
          <t>CLIENTE:</t>
        </is>
      </c>
      <c r="C3" s="559">
        <f>'Sintesis Economica'!C2</f>
        <v/>
      </c>
      <c r="D3" s="559" t="n"/>
      <c r="E3" s="559" t="n"/>
      <c r="F3" s="3" t="inlineStr">
        <is>
          <t>J. de PROYECTO:</t>
        </is>
      </c>
      <c r="G3" s="19">
        <f>'Sintesis Economica'!J2</f>
        <v/>
      </c>
    </row>
    <row r="4">
      <c r="B4" s="590" t="inlineStr">
        <is>
          <t>OBRA :</t>
        </is>
      </c>
      <c r="C4" s="559">
        <f>'Sintesis Economica'!C3</f>
        <v/>
      </c>
      <c r="D4" s="559" t="n"/>
      <c r="E4" s="559" t="n"/>
      <c r="F4" s="3" t="inlineStr">
        <is>
          <t>Elaboró:</t>
        </is>
      </c>
      <c r="G4" s="19">
        <f>'Sintesis Economica'!J3</f>
        <v/>
      </c>
    </row>
    <row r="5">
      <c r="B5" s="590" t="inlineStr">
        <is>
          <t>PLIEGO / E.T.P.Nº:</t>
        </is>
      </c>
      <c r="C5" s="559">
        <f>'Sintesis Economica'!C5</f>
        <v/>
      </c>
      <c r="D5" s="559" t="n"/>
      <c r="E5" s="559" t="n"/>
      <c r="F5" s="3" t="inlineStr">
        <is>
          <t>Revisó:</t>
        </is>
      </c>
      <c r="G5" s="19">
        <f>'Sintesis Economica'!J4</f>
        <v/>
      </c>
    </row>
    <row r="6" ht="13.8" customHeight="1" thickBot="1">
      <c r="B6" s="591" t="inlineStr">
        <is>
          <t>OFERTA N°:</t>
        </is>
      </c>
      <c r="C6" s="561">
        <f>'Sintesis Economica'!C6</f>
        <v/>
      </c>
      <c r="D6" s="562" t="n"/>
      <c r="E6" s="562" t="n"/>
      <c r="F6" s="22" t="n"/>
      <c r="G6" s="23" t="n"/>
    </row>
    <row r="7" ht="37.5" customFormat="1" customHeight="1" s="14" thickBot="1">
      <c r="B7" s="32" t="n"/>
      <c r="C7" s="33" t="inlineStr">
        <is>
          <t>TOTAL COSTO SUMINISTRO DE MATERIALES</t>
        </is>
      </c>
      <c r="D7" s="33" t="n"/>
      <c r="E7" s="33" t="n"/>
      <c r="F7" s="17" t="n"/>
      <c r="G7" s="1059">
        <f>+G20+G33+G39+G51</f>
        <v/>
      </c>
      <c r="I7" s="1060" t="n"/>
      <c r="J7" s="1060" t="n"/>
    </row>
    <row r="8" ht="15.75" customFormat="1" customHeight="1" s="14">
      <c r="B8" s="1061" t="inlineStr">
        <is>
          <t>2.1 MATERIALES MECANICOS</t>
        </is>
      </c>
      <c r="C8" s="1062" t="n"/>
      <c r="D8" s="1062" t="n"/>
      <c r="E8" s="1062" t="n"/>
      <c r="F8" s="1062" t="n"/>
      <c r="G8" s="1063" t="n"/>
    </row>
    <row r="9" ht="35.1" customFormat="1" customHeight="1" s="14">
      <c r="B9" s="34" t="inlineStr">
        <is>
          <t>ITEM</t>
        </is>
      </c>
      <c r="C9" s="35" t="inlineStr">
        <is>
          <t>DESCRIPCION</t>
        </is>
      </c>
      <c r="D9" s="60" t="inlineStr">
        <is>
          <t xml:space="preserve">PRECIO UNITARIO </t>
        </is>
      </c>
      <c r="E9" s="60" t="inlineStr">
        <is>
          <t>U</t>
        </is>
      </c>
      <c r="F9" s="60" t="inlineStr">
        <is>
          <t>CANT.</t>
        </is>
      </c>
      <c r="G9" s="61" t="inlineStr">
        <is>
          <t>COSTO TOTAL</t>
        </is>
      </c>
    </row>
    <row r="10" ht="18" customFormat="1" customHeight="1" s="14">
      <c r="B10" s="15" t="inlineStr">
        <is>
          <t>2.1.1</t>
        </is>
      </c>
      <c r="C10" s="592" t="n"/>
      <c r="D10" s="1064" t="n">
        <v>0</v>
      </c>
      <c r="E10" s="1064" t="n"/>
      <c r="F10" s="216" t="n">
        <v>0</v>
      </c>
      <c r="G10" s="1065">
        <f>+F10*D10</f>
        <v/>
      </c>
    </row>
    <row r="11" ht="18" customFormat="1" customHeight="1" s="14">
      <c r="B11" s="15" t="inlineStr">
        <is>
          <t>2.1.2</t>
        </is>
      </c>
      <c r="C11" s="592" t="n"/>
      <c r="D11" s="1064" t="n">
        <v>0</v>
      </c>
      <c r="E11" s="1064" t="n"/>
      <c r="F11" s="216" t="n">
        <v>0</v>
      </c>
      <c r="G11" s="1065">
        <f>+F11*D11</f>
        <v/>
      </c>
    </row>
    <row r="12" ht="18" customFormat="1" customHeight="1" s="14">
      <c r="B12" s="15" t="inlineStr">
        <is>
          <t>2.1.3</t>
        </is>
      </c>
      <c r="C12" s="592" t="n"/>
      <c r="D12" s="1064" t="n">
        <v>0</v>
      </c>
      <c r="E12" s="1064" t="n"/>
      <c r="F12" s="216" t="n">
        <v>0</v>
      </c>
      <c r="G12" s="1065">
        <f>+F12*D12</f>
        <v/>
      </c>
    </row>
    <row r="13" ht="18" customFormat="1" customHeight="1" s="14">
      <c r="B13" s="15" t="inlineStr">
        <is>
          <t>2.1.4</t>
        </is>
      </c>
      <c r="C13" s="592" t="n"/>
      <c r="D13" s="1064" t="n">
        <v>0</v>
      </c>
      <c r="E13" s="1064" t="n"/>
      <c r="F13" s="216" t="n">
        <v>0</v>
      </c>
      <c r="G13" s="1065">
        <f>+F13*D13</f>
        <v/>
      </c>
    </row>
    <row r="14" ht="18" customFormat="1" customHeight="1" s="14">
      <c r="B14" s="15" t="inlineStr">
        <is>
          <t>2.1.5</t>
        </is>
      </c>
      <c r="C14" s="592" t="n"/>
      <c r="D14" s="1064" t="n">
        <v>0</v>
      </c>
      <c r="E14" s="1064" t="n"/>
      <c r="F14" s="216" t="n">
        <v>0</v>
      </c>
      <c r="G14" s="1065">
        <f>+F14*D14</f>
        <v/>
      </c>
    </row>
    <row r="15" ht="18" customFormat="1" customHeight="1" s="14">
      <c r="B15" s="15" t="inlineStr">
        <is>
          <t>2.1.6</t>
        </is>
      </c>
      <c r="C15" s="592" t="n"/>
      <c r="D15" s="988" t="n">
        <v>0</v>
      </c>
      <c r="E15" s="216" t="n"/>
      <c r="F15" s="216" t="n">
        <v>0</v>
      </c>
      <c r="G15" s="1065">
        <f>+F15*D15</f>
        <v/>
      </c>
    </row>
    <row r="16" ht="18" customFormat="1" customHeight="1" s="14">
      <c r="B16" s="15" t="inlineStr">
        <is>
          <t>2.1.7</t>
        </is>
      </c>
      <c r="C16" s="592" t="n"/>
      <c r="D16" s="988" t="n">
        <v>0</v>
      </c>
      <c r="E16" s="216" t="n"/>
      <c r="F16" s="216" t="n">
        <v>0</v>
      </c>
      <c r="G16" s="1065">
        <f>+F16*D16</f>
        <v/>
      </c>
    </row>
    <row r="17" ht="18" customFormat="1" customHeight="1" s="14">
      <c r="B17" s="15" t="inlineStr">
        <is>
          <t>2.1.8</t>
        </is>
      </c>
      <c r="C17" s="592" t="n"/>
      <c r="D17" s="988" t="n">
        <v>0</v>
      </c>
      <c r="E17" s="216" t="n"/>
      <c r="F17" s="216" t="n">
        <v>0</v>
      </c>
      <c r="G17" s="1065">
        <f>+F17*D17</f>
        <v/>
      </c>
    </row>
    <row r="18" ht="18" customFormat="1" customHeight="1" s="14">
      <c r="B18" s="15" t="inlineStr">
        <is>
          <t>2.1.9</t>
        </is>
      </c>
      <c r="C18" s="592" t="n"/>
      <c r="D18" s="988" t="n">
        <v>0</v>
      </c>
      <c r="E18" s="216" t="n"/>
      <c r="F18" s="216" t="n">
        <v>0</v>
      </c>
      <c r="G18" s="1065">
        <f>+F18*D18</f>
        <v/>
      </c>
    </row>
    <row r="19" ht="18" customFormat="1" customHeight="1" s="14" thickBot="1">
      <c r="B19" s="15" t="inlineStr">
        <is>
          <t>2.1.10</t>
        </is>
      </c>
      <c r="C19" s="594" t="n"/>
      <c r="D19" s="1064" t="n">
        <v>0</v>
      </c>
      <c r="E19" s="1064" t="n"/>
      <c r="F19" s="218" t="n">
        <v>0</v>
      </c>
      <c r="G19" s="1065">
        <f>+F19*D19</f>
        <v/>
      </c>
    </row>
    <row r="20" ht="18" customFormat="1" customHeight="1" s="14" thickBot="1">
      <c r="B20" s="803" t="inlineStr">
        <is>
          <t>SUBTOTAL MATERIALES MECÁNICOS</t>
        </is>
      </c>
      <c r="C20" s="99" t="n"/>
      <c r="D20" s="99" t="n"/>
      <c r="E20" s="99" t="n"/>
      <c r="F20" s="68" t="n"/>
      <c r="G20" s="1066">
        <f>SUM(G10:G19)</f>
        <v/>
      </c>
    </row>
    <row r="21" ht="18" customFormat="1" customHeight="1" s="14">
      <c r="B21" s="39" t="n"/>
      <c r="C21" s="805" t="inlineStr">
        <is>
          <t>2.2 MATERIALES ELÉCTRICOS</t>
        </is>
      </c>
      <c r="D21" s="1062" t="n"/>
      <c r="E21" s="1062" t="n"/>
      <c r="F21" s="1062" t="n"/>
      <c r="G21" s="1001" t="n"/>
    </row>
    <row r="22" ht="35.1" customFormat="1" customHeight="1" s="14">
      <c r="B22" s="15" t="inlineStr">
        <is>
          <t>ITEM</t>
        </is>
      </c>
      <c r="C22" s="35" t="inlineStr">
        <is>
          <t>DESCRIPCION</t>
        </is>
      </c>
      <c r="D22" s="35" t="inlineStr">
        <is>
          <t xml:space="preserve">PRECIO UNITARIO </t>
        </is>
      </c>
      <c r="E22" s="35" t="inlineStr">
        <is>
          <t>U</t>
        </is>
      </c>
      <c r="F22" s="35" t="inlineStr">
        <is>
          <t>CANT.</t>
        </is>
      </c>
      <c r="G22" s="36" t="inlineStr">
        <is>
          <t>COSTO TOTAL</t>
        </is>
      </c>
    </row>
    <row r="23" ht="18" customFormat="1" customHeight="1" s="14">
      <c r="B23" s="15" t="inlineStr">
        <is>
          <t>2.2.1</t>
        </is>
      </c>
      <c r="C23" s="219" t="n"/>
      <c r="D23" s="1067" t="n">
        <v>0</v>
      </c>
      <c r="E23" s="1067" t="n"/>
      <c r="F23" s="218" t="n">
        <v>0</v>
      </c>
      <c r="G23" s="1068">
        <f>+F23*D23</f>
        <v/>
      </c>
    </row>
    <row r="24" ht="18" customFormat="1" customHeight="1" s="14">
      <c r="B24" s="15" t="inlineStr">
        <is>
          <t>2.2.2</t>
        </is>
      </c>
      <c r="C24" s="219" t="n"/>
      <c r="D24" s="1069" t="n">
        <v>0</v>
      </c>
      <c r="E24" s="1069" t="n"/>
      <c r="F24" s="218" t="n">
        <v>0</v>
      </c>
      <c r="G24" s="1068">
        <f>+F24*D24</f>
        <v/>
      </c>
    </row>
    <row r="25" ht="18" customFormat="1" customHeight="1" s="14">
      <c r="B25" s="15" t="inlineStr">
        <is>
          <t>2.2.3</t>
        </is>
      </c>
      <c r="C25" s="219" t="n"/>
      <c r="D25" s="1069" t="n">
        <v>0</v>
      </c>
      <c r="E25" s="1069" t="n"/>
      <c r="F25" s="218" t="n">
        <v>0</v>
      </c>
      <c r="G25" s="1068">
        <f>+F25*D25</f>
        <v/>
      </c>
    </row>
    <row r="26" ht="18" customFormat="1" customHeight="1" s="14">
      <c r="B26" s="15" t="inlineStr">
        <is>
          <t>2.2.4</t>
        </is>
      </c>
      <c r="C26" s="219" t="n"/>
      <c r="D26" s="1069" t="n">
        <v>0</v>
      </c>
      <c r="E26" s="1069" t="n"/>
      <c r="F26" s="218" t="n">
        <v>0</v>
      </c>
      <c r="G26" s="1068">
        <f>+F26*D26</f>
        <v/>
      </c>
    </row>
    <row r="27" ht="18" customFormat="1" customHeight="1" s="14">
      <c r="B27" s="15" t="inlineStr">
        <is>
          <t>2.2.5</t>
        </is>
      </c>
      <c r="C27" s="594" t="n"/>
      <c r="D27" s="1064" t="n">
        <v>0</v>
      </c>
      <c r="E27" s="1064" t="n"/>
      <c r="F27" s="218" t="n">
        <v>0</v>
      </c>
      <c r="G27" s="1068">
        <f>+F27*D27</f>
        <v/>
      </c>
    </row>
    <row r="28" ht="18" customFormat="1" customHeight="1" s="14">
      <c r="B28" s="15" t="inlineStr">
        <is>
          <t>2.2.6</t>
        </is>
      </c>
      <c r="C28" s="592" t="n"/>
      <c r="D28" s="1064" t="n">
        <v>0</v>
      </c>
      <c r="E28" s="1064" t="n"/>
      <c r="F28" s="218" t="n">
        <v>0</v>
      </c>
      <c r="G28" s="1068">
        <f>+F28*D28</f>
        <v/>
      </c>
    </row>
    <row r="29" ht="18" customFormat="1" customHeight="1" s="14">
      <c r="B29" s="15" t="inlineStr">
        <is>
          <t>2.2.7</t>
        </is>
      </c>
      <c r="C29" s="594" t="n"/>
      <c r="D29" s="1069" t="n">
        <v>0</v>
      </c>
      <c r="E29" s="1069" t="n"/>
      <c r="F29" s="218" t="n">
        <v>0</v>
      </c>
      <c r="G29" s="1068">
        <f>+F29*D29</f>
        <v/>
      </c>
    </row>
    <row r="30" ht="18" customFormat="1" customHeight="1" s="14">
      <c r="B30" s="15" t="inlineStr">
        <is>
          <t>2.2.8</t>
        </is>
      </c>
      <c r="C30" s="219" t="n"/>
      <c r="D30" s="1069" t="n">
        <v>0</v>
      </c>
      <c r="E30" s="1069" t="n"/>
      <c r="F30" s="218" t="n">
        <v>0</v>
      </c>
      <c r="G30" s="1068">
        <f>+F30*D30</f>
        <v/>
      </c>
    </row>
    <row r="31" ht="18" customFormat="1" customHeight="1" s="14">
      <c r="B31" s="15" t="inlineStr">
        <is>
          <t>2.2.9</t>
        </is>
      </c>
      <c r="C31" s="219" t="n"/>
      <c r="D31" s="1069" t="n">
        <v>0</v>
      </c>
      <c r="E31" s="1069" t="n"/>
      <c r="F31" s="218" t="n">
        <v>0</v>
      </c>
      <c r="G31" s="1068">
        <f>+F31*D31</f>
        <v/>
      </c>
    </row>
    <row r="32" ht="18" customFormat="1" customHeight="1" s="14" thickBot="1">
      <c r="B32" s="15" t="inlineStr">
        <is>
          <t>2.2.10</t>
        </is>
      </c>
      <c r="C32" s="219" t="n"/>
      <c r="D32" s="1069" t="n">
        <v>0</v>
      </c>
      <c r="E32" s="1069" t="n"/>
      <c r="F32" s="218" t="n">
        <v>0</v>
      </c>
      <c r="G32" s="1068">
        <f>+F32*D32</f>
        <v/>
      </c>
    </row>
    <row r="33" ht="18" customFormat="1" customHeight="1" s="14" thickBot="1">
      <c r="B33" s="797" t="inlineStr">
        <is>
          <t>SUBTOTAL MATERIALES ELECTRICOS</t>
        </is>
      </c>
      <c r="C33" s="917" t="n"/>
      <c r="D33" s="917" t="n"/>
      <c r="E33" s="804" t="n"/>
      <c r="F33" s="68" t="n"/>
      <c r="G33" s="1070">
        <f>SUM(G23:G32)</f>
        <v/>
      </c>
    </row>
    <row r="34" ht="18" customFormat="1" customHeight="1" s="14">
      <c r="B34" s="1061" t="inlineStr">
        <is>
          <t>2.3 MATERIALES AUTOMACION E INFORMATICOS</t>
        </is>
      </c>
      <c r="C34" s="1062" t="n"/>
      <c r="D34" s="1062" t="n"/>
      <c r="E34" s="1062" t="n"/>
      <c r="F34" s="1062" t="n"/>
      <c r="G34" s="1063" t="n"/>
    </row>
    <row r="35" ht="35.1" customFormat="1" customHeight="1" s="14">
      <c r="B35" s="34" t="inlineStr">
        <is>
          <t>ITEM</t>
        </is>
      </c>
      <c r="C35" s="35" t="inlineStr">
        <is>
          <t>DESCRIPCION</t>
        </is>
      </c>
      <c r="D35" s="35" t="inlineStr">
        <is>
          <t xml:space="preserve">PRECIO UNITARIO </t>
        </is>
      </c>
      <c r="E35" s="35" t="inlineStr">
        <is>
          <t>U</t>
        </is>
      </c>
      <c r="F35" s="35" t="inlineStr">
        <is>
          <t>CANTIDAD</t>
        </is>
      </c>
      <c r="G35" s="36" t="inlineStr">
        <is>
          <t>COSTO TOTAL</t>
        </is>
      </c>
    </row>
    <row r="36" ht="18" customFormat="1" customHeight="1" s="14">
      <c r="B36" s="15" t="inlineStr">
        <is>
          <t>2.3.1</t>
        </is>
      </c>
      <c r="C36" s="219" t="n"/>
      <c r="D36" s="1071" t="n"/>
      <c r="E36" s="1071" t="n"/>
      <c r="F36" s="218" t="n"/>
      <c r="G36" s="1068">
        <f>+F36*D36</f>
        <v/>
      </c>
    </row>
    <row r="37" ht="18" customFormat="1" customHeight="1" s="14">
      <c r="B37" s="15" t="inlineStr">
        <is>
          <t>2.3.2</t>
        </is>
      </c>
      <c r="C37" s="219" t="n"/>
      <c r="D37" s="1071" t="n"/>
      <c r="E37" s="1071" t="n"/>
      <c r="F37" s="218" t="n"/>
      <c r="G37" s="1068">
        <f>+F37*D37</f>
        <v/>
      </c>
    </row>
    <row r="38" ht="18" customFormat="1" customHeight="1" s="14" thickBot="1">
      <c r="B38" s="15" t="inlineStr">
        <is>
          <t>2.3.3</t>
        </is>
      </c>
      <c r="C38" s="219" t="n"/>
      <c r="D38" s="1071" t="n"/>
      <c r="E38" s="1071" t="n"/>
      <c r="F38" s="218" t="n"/>
      <c r="G38" s="1068">
        <f>+F38*D38</f>
        <v/>
      </c>
    </row>
    <row r="39" ht="18" customFormat="1" customHeight="1" s="14" thickBot="1">
      <c r="B39" s="797" t="inlineStr">
        <is>
          <t>SUBTOTAL MATERIALES AUTOMACION E INFORMATICOS</t>
        </is>
      </c>
      <c r="C39" s="917" t="n"/>
      <c r="D39" s="917" t="n"/>
      <c r="E39" s="804" t="n"/>
      <c r="F39" s="68" t="n"/>
      <c r="G39" s="1070">
        <f>SUM(G36:G38)</f>
        <v/>
      </c>
    </row>
    <row r="40" ht="18" customFormat="1" customHeight="1" s="14">
      <c r="B40" s="1061" t="inlineStr">
        <is>
          <t>2.4 MATERIALES DIVERSOS</t>
        </is>
      </c>
      <c r="C40" s="1062" t="n"/>
      <c r="D40" s="1062" t="n"/>
      <c r="E40" s="1062" t="n"/>
      <c r="F40" s="1062" t="n"/>
      <c r="G40" s="1063" t="n"/>
    </row>
    <row r="41" ht="35.1" customFormat="1" customHeight="1" s="14">
      <c r="B41" s="34" t="inlineStr">
        <is>
          <t>ITEM</t>
        </is>
      </c>
      <c r="C41" s="35" t="inlineStr">
        <is>
          <t>DESCRIPCION</t>
        </is>
      </c>
      <c r="D41" s="35" t="inlineStr">
        <is>
          <t xml:space="preserve">PRECIO UNITARIO </t>
        </is>
      </c>
      <c r="E41" s="35" t="inlineStr">
        <is>
          <t>U</t>
        </is>
      </c>
      <c r="F41" s="35" t="inlineStr">
        <is>
          <t>CANTIDAD</t>
        </is>
      </c>
      <c r="G41" s="36" t="inlineStr">
        <is>
          <t>COSTO TOTAL</t>
        </is>
      </c>
    </row>
    <row r="42" ht="18" customFormat="1" customHeight="1" s="14">
      <c r="B42" s="15" t="inlineStr">
        <is>
          <t>2.4.1</t>
        </is>
      </c>
      <c r="C42" s="223" t="n"/>
      <c r="D42" s="1071" t="n"/>
      <c r="E42" s="1071" t="n"/>
      <c r="F42" s="218" t="n"/>
      <c r="G42" s="1068">
        <f>+F42*D42</f>
        <v/>
      </c>
    </row>
    <row r="43" ht="18" customFormat="1" customHeight="1" s="14">
      <c r="B43" s="15" t="inlineStr">
        <is>
          <t>2.4.2</t>
        </is>
      </c>
      <c r="C43" s="223" t="n"/>
      <c r="D43" s="1071" t="n"/>
      <c r="E43" s="1071" t="n"/>
      <c r="F43" s="218" t="n"/>
      <c r="G43" s="1068">
        <f>+F43*D43</f>
        <v/>
      </c>
    </row>
    <row r="44" ht="18" customFormat="1" customHeight="1" s="14">
      <c r="B44" s="15" t="inlineStr">
        <is>
          <t>2.4.3</t>
        </is>
      </c>
      <c r="C44" s="224" t="n"/>
      <c r="D44" s="988" t="n"/>
      <c r="E44" s="216" t="n"/>
      <c r="F44" s="216" t="n"/>
      <c r="G44" s="1068">
        <f>+F44*D44</f>
        <v/>
      </c>
    </row>
    <row r="45" ht="18" customFormat="1" customHeight="1" s="14">
      <c r="B45" s="15" t="inlineStr">
        <is>
          <t>2.4.4</t>
        </is>
      </c>
      <c r="C45" s="224" t="n"/>
      <c r="D45" s="988" t="n"/>
      <c r="E45" s="216" t="n"/>
      <c r="F45" s="216" t="n"/>
      <c r="G45" s="1068">
        <f>+F45*D45</f>
        <v/>
      </c>
    </row>
    <row r="46" ht="18" customFormat="1" customHeight="1" s="14">
      <c r="B46" s="15" t="inlineStr">
        <is>
          <t>2.4.5</t>
        </is>
      </c>
      <c r="C46" s="224" t="n"/>
      <c r="D46" s="988" t="n"/>
      <c r="E46" s="216" t="n"/>
      <c r="F46" s="216" t="n"/>
      <c r="G46" s="1068">
        <f>+F46*D46</f>
        <v/>
      </c>
    </row>
    <row r="47" ht="18" customFormat="1" customHeight="1" s="14">
      <c r="B47" s="15" t="inlineStr">
        <is>
          <t>2.4.6</t>
        </is>
      </c>
      <c r="C47" s="224" t="n"/>
      <c r="D47" s="988" t="n"/>
      <c r="E47" s="216" t="n"/>
      <c r="F47" s="216" t="n"/>
      <c r="G47" s="1068">
        <f>+F47*D47</f>
        <v/>
      </c>
    </row>
    <row r="48" ht="18" customFormat="1" customHeight="1" s="14">
      <c r="B48" s="15" t="inlineStr">
        <is>
          <t>2.4.7</t>
        </is>
      </c>
      <c r="C48" s="224" t="n"/>
      <c r="D48" s="988" t="n"/>
      <c r="E48" s="216" t="n"/>
      <c r="F48" s="216" t="n"/>
      <c r="G48" s="1068">
        <f>+F48*D48</f>
        <v/>
      </c>
    </row>
    <row r="49" ht="18" customFormat="1" customHeight="1" s="14">
      <c r="B49" s="15" t="inlineStr">
        <is>
          <t>2.4.8</t>
        </is>
      </c>
      <c r="C49" s="224" t="n"/>
      <c r="D49" s="988" t="n"/>
      <c r="E49" s="216" t="n"/>
      <c r="F49" s="216" t="n"/>
      <c r="G49" s="1068">
        <f>+F49*D49</f>
        <v/>
      </c>
    </row>
    <row r="50" ht="18" customFormat="1" customHeight="1" s="14" thickBot="1">
      <c r="B50" s="15" t="inlineStr">
        <is>
          <t>2.4.9</t>
        </is>
      </c>
      <c r="C50" s="224" t="n"/>
      <c r="D50" s="988" t="n"/>
      <c r="E50" s="216" t="n"/>
      <c r="F50" s="216" t="n"/>
      <c r="G50" s="1068">
        <f>+F50*D50</f>
        <v/>
      </c>
    </row>
    <row r="51" ht="18" customFormat="1" customHeight="1" s="14" thickBot="1">
      <c r="B51" s="1072" t="inlineStr">
        <is>
          <t>SUBTOTAL  MATERIALES DIVERSOS</t>
        </is>
      </c>
      <c r="C51" s="917" t="n"/>
      <c r="D51" s="917" t="n"/>
      <c r="E51" s="917" t="n"/>
      <c r="F51" s="17" t="n"/>
      <c r="G51" s="1073">
        <f>SUM(G42:G49)</f>
        <v/>
      </c>
    </row>
    <row r="52">
      <c r="B52" s="180" t="n"/>
    </row>
  </sheetData>
  <mergeCells count="9">
    <mergeCell ref="B33:D33"/>
    <mergeCell ref="B34:G34"/>
    <mergeCell ref="C21:G21"/>
    <mergeCell ref="B51:F51"/>
    <mergeCell ref="B8:G8"/>
    <mergeCell ref="C1:F1"/>
    <mergeCell ref="B40:G40"/>
    <mergeCell ref="B20:E20"/>
    <mergeCell ref="B39:D39"/>
  </mergeCells>
  <printOptions horizontalCentered="1"/>
  <pageMargins left="0.7874015748031497" right="0.3937007874015748" top="0.3937007874015748" bottom="0.3937007874015748" header="0" footer="0"/>
  <pageSetup orientation="portrait" paperSize="9" scale="59" horizontalDpi="300" verticalDpi="300"/>
  <headerFooter alignWithMargins="0">
    <oddHeader/>
    <oddFooter>&amp;L&amp;P - &amp;N CONFIDENCIAL&amp;C&amp;D&amp;R&amp;F - &amp;A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O98"/>
  <sheetViews>
    <sheetView view="pageBreakPreview" topLeftCell="B1" zoomScale="75" zoomScaleNormal="75" workbookViewId="0">
      <selection activeCell="D85" sqref="D85"/>
    </sheetView>
  </sheetViews>
  <sheetFormatPr baseColWidth="10" defaultColWidth="11.44140625" defaultRowHeight="13.2"/>
  <cols>
    <col width="11.44140625" customWidth="1" style="4" min="1" max="1"/>
    <col width="21.44140625" bestFit="1" customWidth="1" style="13" min="2" max="2"/>
    <col width="65.88671875" customWidth="1" style="40" min="3" max="3"/>
    <col width="15.6640625" customWidth="1" style="13" min="4" max="4"/>
    <col width="15.33203125" customWidth="1" style="4" min="5" max="5"/>
    <col width="24" customWidth="1" style="4" min="6" max="6"/>
    <col width="11.44140625" customWidth="1" style="4" min="7" max="8"/>
    <col width="50.88671875" bestFit="1" customWidth="1" style="4" min="9" max="9"/>
    <col width="11.44140625" customWidth="1" style="4" min="10" max="16384"/>
  </cols>
  <sheetData>
    <row r="1" ht="30" customHeight="1">
      <c r="B1" s="30" t="n"/>
      <c r="C1" s="613" t="inlineStr">
        <is>
          <t>3- SUMINISTRO DE INSUMOS CONSUMIBLES</t>
        </is>
      </c>
      <c r="D1" s="99" t="n"/>
      <c r="E1" s="99" t="n"/>
      <c r="F1" s="31" t="n"/>
    </row>
    <row r="2" ht="9" customHeight="1">
      <c r="B2" s="4" t="n"/>
      <c r="C2" s="205" t="n"/>
      <c r="D2" s="205" t="n"/>
      <c r="E2" s="205" t="n"/>
      <c r="F2" s="19" t="n"/>
    </row>
    <row r="3">
      <c r="B3" s="595" t="inlineStr">
        <is>
          <t>CLIENTE:</t>
        </is>
      </c>
      <c r="C3" s="559">
        <f>'Sintesis Economica'!C2</f>
        <v/>
      </c>
      <c r="D3" s="559" t="n"/>
      <c r="E3" s="3" t="inlineStr">
        <is>
          <t>J. de PROYECTO:</t>
        </is>
      </c>
      <c r="F3" s="19">
        <f>'Sintesis Economica'!J2</f>
        <v/>
      </c>
    </row>
    <row r="4">
      <c r="B4" s="595" t="inlineStr">
        <is>
          <t>OBRA :</t>
        </is>
      </c>
      <c r="C4" s="559">
        <f>'Sintesis Economica'!C3</f>
        <v/>
      </c>
      <c r="D4" s="559" t="n"/>
      <c r="E4" s="3" t="inlineStr">
        <is>
          <t>Elaboró:</t>
        </is>
      </c>
      <c r="F4" s="19">
        <f>'Sintesis Economica'!J3</f>
        <v/>
      </c>
    </row>
    <row r="5">
      <c r="B5" s="595" t="inlineStr">
        <is>
          <t>PLIEGO / E.T.P.Nº:</t>
        </is>
      </c>
      <c r="C5" s="559">
        <f>'Sintesis Economica'!C5</f>
        <v/>
      </c>
      <c r="D5" s="559" t="n"/>
      <c r="E5" s="3" t="inlineStr">
        <is>
          <t>Revisó:</t>
        </is>
      </c>
      <c r="F5" s="19">
        <f>'Sintesis Economica'!J4</f>
        <v/>
      </c>
    </row>
    <row r="6" ht="13.8" customHeight="1" thickBot="1">
      <c r="B6" s="596" t="inlineStr">
        <is>
          <t>OFERTA N°:</t>
        </is>
      </c>
      <c r="C6" s="561">
        <f>'Sintesis Economica'!C6</f>
        <v/>
      </c>
      <c r="D6" s="562" t="n"/>
      <c r="E6" s="22" t="n"/>
      <c r="F6" s="23" t="n"/>
    </row>
    <row r="7" ht="22.5" customFormat="1" customHeight="1" s="14" thickBot="1">
      <c r="B7" s="1074" t="inlineStr">
        <is>
          <t>TOTAL COSTO de INSUMOS CONSUMIBLES</t>
        </is>
      </c>
      <c r="C7" s="917" t="n"/>
      <c r="D7" s="917" t="n"/>
      <c r="E7" s="17" t="n"/>
      <c r="F7" s="1059">
        <f>+F39+F54+F61+F68+F87+F96</f>
        <v/>
      </c>
      <c r="G7" s="1075">
        <f>+F7/#REF!</f>
        <v/>
      </c>
      <c r="H7" s="1060" t="n"/>
      <c r="I7" s="1076" t="n"/>
    </row>
    <row r="8" ht="20.1" customFormat="1" customHeight="1" s="14">
      <c r="B8" s="1061" t="inlineStr">
        <is>
          <t>3.1 INSUMOS CONSUMIBLES (INSUMOS DIRECTOS DE MANTENIMIENTO Y OPERACIÓN)</t>
        </is>
      </c>
      <c r="C8" s="1062" t="n"/>
      <c r="D8" s="1062" t="n"/>
      <c r="E8" s="1062" t="n"/>
      <c r="F8" s="1063" t="n"/>
      <c r="G8" s="1075" t="n"/>
    </row>
    <row r="9" ht="35.1" customFormat="1" customHeight="1" s="14">
      <c r="B9" s="34" t="inlineStr">
        <is>
          <t>ITEM</t>
        </is>
      </c>
      <c r="C9" s="35" t="inlineStr">
        <is>
          <t>DESCRIPCION</t>
        </is>
      </c>
      <c r="D9" s="60" t="inlineStr">
        <is>
          <t xml:space="preserve">PRECIO UNITARIO </t>
        </is>
      </c>
      <c r="E9" s="60" t="inlineStr">
        <is>
          <t>CANT.</t>
        </is>
      </c>
      <c r="F9" s="61" t="inlineStr">
        <is>
          <t>COSTO TOTAL</t>
        </is>
      </c>
    </row>
    <row r="10" ht="18" customFormat="1" customHeight="1" s="14">
      <c r="B10" s="15" t="inlineStr">
        <is>
          <t>3.1.1</t>
        </is>
      </c>
      <c r="C10" s="225" t="n"/>
      <c r="D10" s="1067" t="n">
        <v>0</v>
      </c>
      <c r="E10" s="347" t="n">
        <v>0</v>
      </c>
      <c r="F10" s="1068">
        <f>+E10*D10</f>
        <v/>
      </c>
      <c r="H10" s="1077" t="n"/>
      <c r="I10" s="14" t="n"/>
    </row>
    <row r="11" ht="18" customFormat="1" customHeight="1" s="14">
      <c r="B11" s="15" t="inlineStr">
        <is>
          <t>3.1.2</t>
        </is>
      </c>
      <c r="C11" s="226" t="n"/>
      <c r="D11" s="1067" t="n">
        <v>0</v>
      </c>
      <c r="E11" s="218" t="n">
        <v>0</v>
      </c>
      <c r="F11" s="1068">
        <f>+E11*D11</f>
        <v/>
      </c>
    </row>
    <row r="12" ht="18" customFormat="1" customHeight="1" s="14">
      <c r="B12" s="15" t="inlineStr">
        <is>
          <t>3.1.3</t>
        </is>
      </c>
      <c r="C12" s="226" t="n"/>
      <c r="D12" s="1067" t="n">
        <v>0</v>
      </c>
      <c r="E12" s="218" t="n">
        <v>0</v>
      </c>
      <c r="F12" s="1068">
        <f>+E12*D12</f>
        <v/>
      </c>
    </row>
    <row r="13" ht="18" customFormat="1" customHeight="1" s="14">
      <c r="B13" s="15" t="inlineStr">
        <is>
          <t>3.1.4</t>
        </is>
      </c>
      <c r="C13" s="226" t="n"/>
      <c r="D13" s="1067" t="n">
        <v>0</v>
      </c>
      <c r="E13" s="218" t="n">
        <v>0</v>
      </c>
      <c r="F13" s="1068">
        <f>+E13*D13</f>
        <v/>
      </c>
    </row>
    <row r="14" ht="18" customFormat="1" customHeight="1" s="14">
      <c r="B14" s="15" t="inlineStr">
        <is>
          <t>3.1.5</t>
        </is>
      </c>
      <c r="C14" s="226" t="n"/>
      <c r="D14" s="1067" t="n">
        <v>0</v>
      </c>
      <c r="E14" s="218" t="n">
        <v>0</v>
      </c>
      <c r="F14" s="1068">
        <f>+E14*D14</f>
        <v/>
      </c>
    </row>
    <row r="15" ht="18" customFormat="1" customHeight="1" s="14">
      <c r="B15" s="15" t="inlineStr">
        <is>
          <t>3.1.6</t>
        </is>
      </c>
      <c r="C15" s="226" t="n"/>
      <c r="D15" s="1067" t="n">
        <v>0</v>
      </c>
      <c r="E15" s="218" t="n">
        <v>0</v>
      </c>
      <c r="F15" s="1068">
        <f>+E15*D15</f>
        <v/>
      </c>
    </row>
    <row r="16" ht="18" customFormat="1" customHeight="1" s="14">
      <c r="B16" s="15" t="inlineStr">
        <is>
          <t>3.1.7</t>
        </is>
      </c>
      <c r="C16" s="226" t="n"/>
      <c r="D16" s="1067" t="n">
        <v>0</v>
      </c>
      <c r="E16" s="218" t="n">
        <v>0</v>
      </c>
      <c r="F16" s="1068">
        <f>+E16*D16</f>
        <v/>
      </c>
    </row>
    <row r="17" ht="18" customFormat="1" customHeight="1" s="14">
      <c r="B17" s="15" t="inlineStr">
        <is>
          <t>3.1.8</t>
        </is>
      </c>
      <c r="C17" s="227" t="n"/>
      <c r="D17" s="1067" t="n">
        <v>0</v>
      </c>
      <c r="E17" s="218" t="n">
        <v>0</v>
      </c>
      <c r="F17" s="1068">
        <f>+E17*D17</f>
        <v/>
      </c>
    </row>
    <row r="18" ht="18" customFormat="1" customHeight="1" s="14">
      <c r="B18" s="15" t="inlineStr">
        <is>
          <t>3.1.9</t>
        </is>
      </c>
      <c r="C18" s="227" t="n"/>
      <c r="D18" s="1067" t="n">
        <v>0</v>
      </c>
      <c r="E18" s="218" t="n">
        <v>0</v>
      </c>
      <c r="F18" s="1068">
        <f>+E18*D18</f>
        <v/>
      </c>
    </row>
    <row r="19" ht="18" customFormat="1" customHeight="1" s="14">
      <c r="B19" s="15" t="inlineStr">
        <is>
          <t>3.1.10</t>
        </is>
      </c>
      <c r="C19" s="226" t="n"/>
      <c r="D19" s="1067" t="n">
        <v>0</v>
      </c>
      <c r="E19" s="218" t="n">
        <v>0</v>
      </c>
      <c r="F19" s="1068">
        <f>+E19*D19</f>
        <v/>
      </c>
    </row>
    <row r="20" ht="18" customFormat="1" customHeight="1" s="14">
      <c r="B20" s="15" t="inlineStr">
        <is>
          <t>3.1.11</t>
        </is>
      </c>
      <c r="C20" s="226" t="n"/>
      <c r="D20" s="1067" t="n">
        <v>0</v>
      </c>
      <c r="E20" s="218" t="n">
        <v>0</v>
      </c>
      <c r="F20" s="1068">
        <f>+E20*D20</f>
        <v/>
      </c>
    </row>
    <row r="21" ht="18" customFormat="1" customHeight="1" s="14">
      <c r="B21" s="15" t="inlineStr">
        <is>
          <t>3.1.12</t>
        </is>
      </c>
      <c r="C21" s="226" t="n"/>
      <c r="D21" s="1067" t="n">
        <v>0</v>
      </c>
      <c r="E21" s="218" t="n">
        <v>0</v>
      </c>
      <c r="F21" s="1068">
        <f>+E21*D21</f>
        <v/>
      </c>
    </row>
    <row r="22" ht="18" customFormat="1" customHeight="1" s="14">
      <c r="B22" s="15" t="inlineStr">
        <is>
          <t>3.1.13</t>
        </is>
      </c>
      <c r="C22" s="226" t="n"/>
      <c r="D22" s="1067" t="n">
        <v>0</v>
      </c>
      <c r="E22" s="218" t="n">
        <v>0</v>
      </c>
      <c r="F22" s="1068">
        <f>+E22*D22</f>
        <v/>
      </c>
    </row>
    <row r="23" ht="18" customFormat="1" customHeight="1" s="14">
      <c r="B23" s="15" t="inlineStr">
        <is>
          <t>3.1.14</t>
        </is>
      </c>
      <c r="C23" s="226" t="n"/>
      <c r="D23" s="1067" t="n">
        <v>0</v>
      </c>
      <c r="E23" s="218" t="n">
        <v>0</v>
      </c>
      <c r="F23" s="1068">
        <f>+E23*D23</f>
        <v/>
      </c>
    </row>
    <row r="24" ht="18" customFormat="1" customHeight="1" s="14">
      <c r="B24" s="15" t="inlineStr">
        <is>
          <t>3.1.15</t>
        </is>
      </c>
      <c r="C24" s="226" t="n"/>
      <c r="D24" s="1067" t="n">
        <v>0</v>
      </c>
      <c r="E24" s="218" t="n">
        <v>0</v>
      </c>
      <c r="F24" s="1068">
        <f>+E24*D24</f>
        <v/>
      </c>
    </row>
    <row r="25" ht="18" customFormat="1" customHeight="1" s="14">
      <c r="B25" s="15" t="inlineStr">
        <is>
          <t>3.1.16</t>
        </is>
      </c>
      <c r="C25" s="226" t="n"/>
      <c r="D25" s="1067" t="n">
        <v>0</v>
      </c>
      <c r="E25" s="218" t="n">
        <v>0</v>
      </c>
      <c r="F25" s="1068">
        <f>+E25*D25</f>
        <v/>
      </c>
    </row>
    <row r="26" ht="15" customFormat="1" customHeight="1" s="14">
      <c r="B26" s="15" t="inlineStr">
        <is>
          <t>3.1.17</t>
        </is>
      </c>
      <c r="C26" s="225" t="n"/>
      <c r="D26" s="1067" t="n">
        <v>0</v>
      </c>
      <c r="E26" s="218" t="n">
        <v>0</v>
      </c>
      <c r="F26" s="1068">
        <f>+E26*D26</f>
        <v/>
      </c>
    </row>
    <row r="27" ht="18" customFormat="1" customHeight="1" s="14">
      <c r="B27" s="15" t="inlineStr">
        <is>
          <t>3.1.18</t>
        </is>
      </c>
      <c r="C27" s="226" t="n"/>
      <c r="D27" s="1067" t="n">
        <v>0</v>
      </c>
      <c r="E27" s="218" t="n">
        <v>0</v>
      </c>
      <c r="F27" s="1068">
        <f>+E27*D27</f>
        <v/>
      </c>
    </row>
    <row r="28" ht="18" customFormat="1" customHeight="1" s="14">
      <c r="B28" s="15" t="inlineStr">
        <is>
          <t>3.1.19</t>
        </is>
      </c>
      <c r="C28" s="226" t="n"/>
      <c r="D28" s="1067" t="n">
        <v>0</v>
      </c>
      <c r="E28" s="218" t="n">
        <v>0</v>
      </c>
      <c r="F28" s="1068">
        <f>+E28*D28</f>
        <v/>
      </c>
    </row>
    <row r="29" ht="18" customFormat="1" customHeight="1" s="14">
      <c r="B29" s="15" t="inlineStr">
        <is>
          <t>3.1.20</t>
        </is>
      </c>
      <c r="C29" s="226" t="n"/>
      <c r="D29" s="1067" t="n">
        <v>0</v>
      </c>
      <c r="E29" s="218" t="n">
        <v>0</v>
      </c>
      <c r="F29" s="1068">
        <f>+E29*D29</f>
        <v/>
      </c>
    </row>
    <row r="30" ht="18" customFormat="1" customHeight="1" s="14">
      <c r="B30" s="15" t="inlineStr">
        <is>
          <t>3.1.21</t>
        </is>
      </c>
      <c r="C30" s="226" t="n"/>
      <c r="D30" s="1067" t="n">
        <v>0</v>
      </c>
      <c r="E30" s="218" t="n">
        <v>0</v>
      </c>
      <c r="F30" s="1068">
        <f>+E30*D30</f>
        <v/>
      </c>
    </row>
    <row r="31" ht="18" customFormat="1" customHeight="1" s="14">
      <c r="B31" s="15" t="inlineStr">
        <is>
          <t>3.1.22</t>
        </is>
      </c>
      <c r="C31" s="226" t="n"/>
      <c r="D31" s="1067" t="n">
        <v>0</v>
      </c>
      <c r="E31" s="218" t="n">
        <v>0</v>
      </c>
      <c r="F31" s="1068">
        <f>+E31*D31</f>
        <v/>
      </c>
    </row>
    <row r="32" ht="18" customFormat="1" customHeight="1" s="14">
      <c r="B32" s="15" t="inlineStr">
        <is>
          <t>3.1.23</t>
        </is>
      </c>
      <c r="C32" s="226" t="n"/>
      <c r="D32" s="1067" t="n">
        <v>0</v>
      </c>
      <c r="E32" s="218" t="n">
        <v>0</v>
      </c>
      <c r="F32" s="1068">
        <f>+E32*D32</f>
        <v/>
      </c>
    </row>
    <row r="33" ht="18" customFormat="1" customHeight="1" s="14">
      <c r="B33" s="15" t="inlineStr">
        <is>
          <t>3.1.24</t>
        </is>
      </c>
      <c r="C33" s="226" t="n"/>
      <c r="D33" s="1071" t="n">
        <v>0</v>
      </c>
      <c r="E33" s="218" t="n">
        <v>0</v>
      </c>
      <c r="F33" s="1068">
        <f>+E33*D33</f>
        <v/>
      </c>
    </row>
    <row r="34" ht="18" customFormat="1" customHeight="1" s="14">
      <c r="B34" s="15" t="inlineStr">
        <is>
          <t>3.1.25</t>
        </is>
      </c>
      <c r="C34" s="226" t="n"/>
      <c r="D34" s="1071" t="n">
        <v>0</v>
      </c>
      <c r="E34" s="218" t="n">
        <v>0</v>
      </c>
      <c r="F34" s="1068">
        <f>+E34*D34</f>
        <v/>
      </c>
    </row>
    <row r="35" ht="18" customFormat="1" customHeight="1" s="14">
      <c r="B35" s="15" t="inlineStr">
        <is>
          <t>3.1.26</t>
        </is>
      </c>
      <c r="C35" s="226" t="n"/>
      <c r="D35" s="1071" t="n">
        <v>0</v>
      </c>
      <c r="E35" s="218" t="n">
        <v>0</v>
      </c>
      <c r="F35" s="1068">
        <f>+E35*D35</f>
        <v/>
      </c>
    </row>
    <row r="36" ht="18" customFormat="1" customHeight="1" s="14">
      <c r="B36" s="15" t="inlineStr">
        <is>
          <t>3.1.27</t>
        </is>
      </c>
      <c r="C36" s="226" t="n"/>
      <c r="D36" s="1071" t="n">
        <v>0</v>
      </c>
      <c r="E36" s="218" t="n">
        <v>0</v>
      </c>
      <c r="F36" s="1068">
        <f>+E36*D36</f>
        <v/>
      </c>
    </row>
    <row r="37" ht="18" customFormat="1" customHeight="1" s="14">
      <c r="B37" s="15" t="inlineStr">
        <is>
          <t>3.1.28</t>
        </is>
      </c>
      <c r="C37" s="226" t="n"/>
      <c r="D37" s="1071" t="n">
        <v>0</v>
      </c>
      <c r="E37" s="218" t="n">
        <v>0</v>
      </c>
      <c r="F37" s="1068">
        <f>+E37*D37</f>
        <v/>
      </c>
    </row>
    <row r="38" ht="18" customFormat="1" customHeight="1" s="14" thickBot="1">
      <c r="B38" s="15" t="inlineStr">
        <is>
          <t>3.1.29</t>
        </is>
      </c>
      <c r="C38" s="226" t="n"/>
      <c r="D38" s="1078" t="n">
        <v>0</v>
      </c>
      <c r="E38" s="229" t="n">
        <v>0</v>
      </c>
      <c r="F38" s="1068">
        <f>+E38*D38</f>
        <v/>
      </c>
      <c r="G38" s="77" t="n"/>
    </row>
    <row r="39" ht="18" customFormat="1" customHeight="1" s="14">
      <c r="B39" s="1079" t="inlineStr">
        <is>
          <t>SUBTOTAL INSUMOS CONSUMIBLES (INSUMOS DIRECTOS DE MANTENIMIENTO)</t>
        </is>
      </c>
      <c r="C39" s="99" t="n"/>
      <c r="D39" s="99" t="n"/>
      <c r="E39" s="37" t="n"/>
      <c r="F39" s="1080">
        <f>SUM(F10:F38)</f>
        <v/>
      </c>
      <c r="G39" s="1075">
        <f>+F39/#REF!</f>
        <v/>
      </c>
    </row>
    <row r="40" ht="18" customFormat="1" customHeight="1" s="14" thickBot="1">
      <c r="B40" s="1081" t="n"/>
      <c r="C40" s="243" t="n"/>
      <c r="D40" s="243" t="n"/>
      <c r="E40" s="38" t="n"/>
      <c r="F40" s="1082" t="n"/>
      <c r="H40" s="1060" t="n"/>
      <c r="I40" s="1083" t="n"/>
    </row>
    <row r="41" ht="20.1" customFormat="1" customHeight="1" s="14">
      <c r="B41" s="39" t="n"/>
      <c r="C41" s="805" t="inlineStr">
        <is>
          <t>3.2 COMBUSTIBLE, FILTROS Y LUBRICATES DE RODADOS Y MÁQUINAS</t>
        </is>
      </c>
      <c r="D41" s="1062" t="n"/>
      <c r="E41" s="1062" t="n"/>
      <c r="F41" s="1001" t="n"/>
    </row>
    <row r="42" ht="35.1" customFormat="1" customHeight="1" s="14">
      <c r="B42" s="15" t="inlineStr">
        <is>
          <t>ITEM</t>
        </is>
      </c>
      <c r="C42" s="35" t="inlineStr">
        <is>
          <t>DESCRIPCION</t>
        </is>
      </c>
      <c r="D42" s="35" t="inlineStr">
        <is>
          <t xml:space="preserve">PRECIO UNITARIO </t>
        </is>
      </c>
      <c r="E42" s="35" t="inlineStr">
        <is>
          <t>CANT.</t>
        </is>
      </c>
      <c r="F42" s="36" t="inlineStr">
        <is>
          <t>COSTO TOTAL</t>
        </is>
      </c>
      <c r="I42" s="14" t="inlineStr">
        <is>
          <t>CONSUMO DE COMBUSTIBLE</t>
        </is>
      </c>
      <c r="J42" s="14" t="inlineStr">
        <is>
          <t>HS/DIA</t>
        </is>
      </c>
      <c r="K42" s="14" t="inlineStr">
        <is>
          <t>LTS/HS</t>
        </is>
      </c>
      <c r="L42" s="14" t="inlineStr">
        <is>
          <t>DIAS</t>
        </is>
      </c>
      <c r="M42" s="14" t="inlineStr">
        <is>
          <t>CTD</t>
        </is>
      </c>
      <c r="N42" s="14" t="inlineStr">
        <is>
          <t>TOTAL LTS</t>
        </is>
      </c>
    </row>
    <row r="43" ht="18" customFormat="1" customHeight="1" s="14">
      <c r="B43" s="15" t="inlineStr">
        <is>
          <t>3.2.1</t>
        </is>
      </c>
      <c r="C43" s="219" t="n"/>
      <c r="D43" s="1067" t="n">
        <v>0</v>
      </c>
      <c r="E43" s="218" t="n">
        <v>0</v>
      </c>
      <c r="F43" s="1068">
        <f>+E43*D43</f>
        <v/>
      </c>
      <c r="I43" s="14" t="n"/>
      <c r="J43" s="77" t="n">
        <v>10</v>
      </c>
      <c r="K43" s="77" t="n">
        <v>1.5</v>
      </c>
      <c r="L43" s="77" t="n">
        <v>22</v>
      </c>
      <c r="M43" s="14" t="n">
        <v>2</v>
      </c>
      <c r="N43" s="315">
        <f>+J43*K43*L43</f>
        <v/>
      </c>
      <c r="O43" s="14">
        <f>M43*N43</f>
        <v/>
      </c>
    </row>
    <row r="44" ht="18" customFormat="1" customHeight="1" s="14">
      <c r="B44" s="15" t="inlineStr">
        <is>
          <t>3.2.2</t>
        </is>
      </c>
      <c r="C44" s="219" t="n"/>
      <c r="D44" s="1069" t="n"/>
      <c r="E44" s="218" t="n"/>
      <c r="F44" s="1068">
        <f>+E44*D44</f>
        <v/>
      </c>
      <c r="I44" s="14">
        <f>+'5 AMORTIZACIÓN'!C12</f>
        <v/>
      </c>
      <c r="J44" s="77" t="n">
        <v>10</v>
      </c>
      <c r="K44" s="77" t="n">
        <v>3</v>
      </c>
      <c r="L44" s="77" t="n">
        <v>22</v>
      </c>
      <c r="M44" s="14" t="n">
        <v>2</v>
      </c>
      <c r="N44" s="315">
        <f>+J44*K44*L44</f>
        <v/>
      </c>
      <c r="O44" s="14">
        <f>M44*N44</f>
        <v/>
      </c>
    </row>
    <row r="45" ht="18" customFormat="1" customHeight="1" s="14">
      <c r="B45" s="15" t="inlineStr">
        <is>
          <t>3.2.3</t>
        </is>
      </c>
      <c r="C45" s="219" t="n"/>
      <c r="D45" s="1069" t="n"/>
      <c r="E45" s="218" t="n"/>
      <c r="F45" s="1068">
        <f>+E45*D45</f>
        <v/>
      </c>
      <c r="I45" s="14">
        <f>+'5 AMORTIZACIÓN'!C13</f>
        <v/>
      </c>
      <c r="J45" s="77" t="n">
        <v>10</v>
      </c>
      <c r="K45" s="77" t="n">
        <v>3</v>
      </c>
      <c r="L45" s="77" t="n">
        <v>22</v>
      </c>
      <c r="M45" s="14">
        <f>'5 AMORTIZACIÓN'!E13</f>
        <v/>
      </c>
      <c r="N45" s="315">
        <f>+J45*K45*L45</f>
        <v/>
      </c>
      <c r="O45" s="14">
        <f>M45*N45</f>
        <v/>
      </c>
    </row>
    <row r="46" ht="18" customFormat="1" customHeight="1" s="14">
      <c r="B46" s="15" t="inlineStr">
        <is>
          <t>3.2.4</t>
        </is>
      </c>
      <c r="C46" s="219" t="n"/>
      <c r="D46" s="1069" t="n"/>
      <c r="E46" s="218" t="n"/>
      <c r="F46" s="1068">
        <f>+E46*D46</f>
        <v/>
      </c>
      <c r="I46" s="14">
        <f>+'5 AMORTIZACIÓN'!C14</f>
        <v/>
      </c>
      <c r="J46" s="77" t="n">
        <v>10</v>
      </c>
      <c r="K46" s="77" t="n">
        <v>3</v>
      </c>
      <c r="L46" s="77" t="n">
        <v>22</v>
      </c>
      <c r="M46" s="14">
        <f>'5 AMORTIZACIÓN'!E14</f>
        <v/>
      </c>
      <c r="N46" s="315">
        <f>+J46*K46*L46</f>
        <v/>
      </c>
      <c r="O46" s="14">
        <f>M46*N46</f>
        <v/>
      </c>
    </row>
    <row r="47" ht="18" customFormat="1" customHeight="1" s="14">
      <c r="B47" s="15" t="inlineStr">
        <is>
          <t>3.2.5</t>
        </is>
      </c>
      <c r="C47" s="219" t="n"/>
      <c r="D47" s="1069" t="n"/>
      <c r="E47" s="218" t="n"/>
      <c r="F47" s="1068">
        <f>+E47*D47</f>
        <v/>
      </c>
      <c r="I47" s="14">
        <f>+'5 AMORTIZACIÓN'!C15</f>
        <v/>
      </c>
      <c r="J47" s="77" t="n">
        <v>10</v>
      </c>
      <c r="K47" s="77" t="n">
        <v>3</v>
      </c>
      <c r="L47" s="77" t="n">
        <v>22</v>
      </c>
      <c r="M47" s="14">
        <f>'5 AMORTIZACIÓN'!E15</f>
        <v/>
      </c>
      <c r="N47" s="315">
        <f>+J47*K47*L47</f>
        <v/>
      </c>
      <c r="O47" s="14">
        <f>M47*N47</f>
        <v/>
      </c>
    </row>
    <row r="48" ht="18" customFormat="1" customHeight="1" s="14">
      <c r="B48" s="15" t="inlineStr">
        <is>
          <t>3.2.6</t>
        </is>
      </c>
      <c r="C48" s="219" t="n"/>
      <c r="D48" s="1069" t="n"/>
      <c r="E48" s="218" t="n"/>
      <c r="F48" s="1068">
        <f>+E48*D48</f>
        <v/>
      </c>
      <c r="I48" s="14">
        <f>+'5 AMORTIZACIÓN'!C16</f>
        <v/>
      </c>
      <c r="J48" s="77" t="n"/>
      <c r="K48" s="77" t="n"/>
      <c r="L48" s="77" t="n"/>
      <c r="N48" s="315" t="n"/>
    </row>
    <row r="49" ht="18" customFormat="1" customHeight="1" s="14">
      <c r="B49" s="15" t="inlineStr">
        <is>
          <t>3.2.7</t>
        </is>
      </c>
      <c r="C49" s="219" t="n"/>
      <c r="D49" s="1069" t="n"/>
      <c r="E49" s="218" t="n"/>
      <c r="F49" s="1068">
        <f>+E49*D49</f>
        <v/>
      </c>
      <c r="J49" s="77" t="n"/>
      <c r="K49" s="77" t="n"/>
      <c r="L49" s="77" t="n"/>
      <c r="N49" s="315" t="n"/>
    </row>
    <row r="50" ht="18" customFormat="1" customHeight="1" s="14">
      <c r="B50" s="15" t="inlineStr">
        <is>
          <t>3.2.8</t>
        </is>
      </c>
      <c r="C50" s="219" t="n"/>
      <c r="D50" s="1069" t="n"/>
      <c r="E50" s="218" t="n"/>
      <c r="F50" s="1068">
        <f>+E50*D50</f>
        <v/>
      </c>
      <c r="M50" s="314">
        <f>+SUM(M43:M49)</f>
        <v/>
      </c>
      <c r="N50" s="314">
        <f>+SUM(N43:N49)</f>
        <v/>
      </c>
      <c r="O50" s="314">
        <f>+SUM(O43:O49)</f>
        <v/>
      </c>
    </row>
    <row r="51" ht="18" customFormat="1" customHeight="1" s="14">
      <c r="B51" s="15" t="inlineStr">
        <is>
          <t>3.2.9</t>
        </is>
      </c>
      <c r="C51" s="219" t="n"/>
      <c r="D51" s="1069" t="n"/>
      <c r="E51" s="218" t="n"/>
      <c r="F51" s="1068">
        <f>+E51*D51</f>
        <v/>
      </c>
    </row>
    <row r="52" ht="18" customFormat="1" customHeight="1" s="14">
      <c r="B52" s="15" t="inlineStr">
        <is>
          <t>3.2.10</t>
        </is>
      </c>
      <c r="C52" s="219" t="n"/>
      <c r="D52" s="1069" t="n"/>
      <c r="E52" s="218" t="n"/>
      <c r="F52" s="1068">
        <f>+E52*D52</f>
        <v/>
      </c>
    </row>
    <row r="53" ht="18" customFormat="1" customHeight="1" s="14" thickBot="1">
      <c r="B53" s="15" t="inlineStr">
        <is>
          <t>3.2.11</t>
        </is>
      </c>
      <c r="C53" s="230" t="n"/>
      <c r="D53" s="1084" t="n"/>
      <c r="E53" s="229" t="n"/>
      <c r="F53" s="1068">
        <f>+E53*D53</f>
        <v/>
      </c>
      <c r="G53" s="77" t="n"/>
    </row>
    <row r="54" ht="18" customFormat="1" customHeight="1" s="14">
      <c r="B54" s="1079" t="inlineStr">
        <is>
          <t>SUBTOTAL COMBUSTIBLE, FILTROS Y LUBRICATES</t>
        </is>
      </c>
      <c r="C54" s="99" t="n"/>
      <c r="D54" s="99" t="n"/>
      <c r="E54" s="37" t="n"/>
      <c r="F54" s="1080">
        <f>SUM(F43:F53)</f>
        <v/>
      </c>
      <c r="G54" s="1075">
        <f>+F54/#REF!</f>
        <v/>
      </c>
    </row>
    <row r="55" ht="18" customFormat="1" customHeight="1" s="14" thickBot="1">
      <c r="B55" s="1081" t="n"/>
      <c r="C55" s="243" t="n"/>
      <c r="D55" s="243" t="n"/>
      <c r="E55" s="38" t="n"/>
      <c r="F55" s="1082" t="n"/>
    </row>
    <row r="56" ht="20.1" customFormat="1" customHeight="1" s="14">
      <c r="B56" s="1061" t="inlineStr">
        <is>
          <t>3.3 INSUMOS INFORMÁTICOS Y DE OFICINA</t>
        </is>
      </c>
      <c r="C56" s="1062" t="n"/>
      <c r="D56" s="1062" t="n"/>
      <c r="E56" s="1062" t="n"/>
      <c r="F56" s="1063" t="n"/>
    </row>
    <row r="57" ht="35.1" customFormat="1" customHeight="1" s="14">
      <c r="B57" s="34" t="inlineStr">
        <is>
          <t>ITEM</t>
        </is>
      </c>
      <c r="C57" s="35" t="inlineStr">
        <is>
          <t>DESCRIPCION</t>
        </is>
      </c>
      <c r="D57" s="35" t="inlineStr">
        <is>
          <t xml:space="preserve">PRECIO UNITARIO </t>
        </is>
      </c>
      <c r="E57" s="35" t="inlineStr">
        <is>
          <t>CANTIDAD</t>
        </is>
      </c>
      <c r="F57" s="36" t="inlineStr">
        <is>
          <t>COSTO TOTAL</t>
        </is>
      </c>
    </row>
    <row r="58" ht="18" customFormat="1" customHeight="1" s="14">
      <c r="B58" s="15" t="inlineStr">
        <is>
          <t>3.3.1</t>
        </is>
      </c>
      <c r="C58" s="219" t="n"/>
      <c r="D58" s="1071" t="n">
        <v>0</v>
      </c>
      <c r="E58" s="218" t="n">
        <v>0</v>
      </c>
      <c r="F58" s="1068">
        <f>+E58*D58</f>
        <v/>
      </c>
    </row>
    <row r="59" ht="18" customFormat="1" customHeight="1" s="14">
      <c r="B59" s="15" t="inlineStr">
        <is>
          <t>3.3.2</t>
        </is>
      </c>
      <c r="C59" s="219" t="n"/>
      <c r="D59" s="1071" t="n"/>
      <c r="E59" s="218" t="n"/>
      <c r="F59" s="1068">
        <f>+E59*D59</f>
        <v/>
      </c>
    </row>
    <row r="60" ht="18" customFormat="1" customHeight="1" s="14" thickBot="1">
      <c r="B60" s="15" t="inlineStr">
        <is>
          <t>3.3.3</t>
        </is>
      </c>
      <c r="C60" s="219" t="n"/>
      <c r="D60" s="1071" t="n"/>
      <c r="E60" s="218" t="n"/>
      <c r="F60" s="1068">
        <f>+E60*D60</f>
        <v/>
      </c>
      <c r="G60" s="77" t="n"/>
    </row>
    <row r="61" ht="18" customFormat="1" customHeight="1" s="14">
      <c r="B61" s="1079" t="inlineStr">
        <is>
          <t>SUBTOTAL INSUMOS INFORMÁTICOS Y DE OFICINA</t>
        </is>
      </c>
      <c r="C61" s="99" t="n"/>
      <c r="D61" s="99" t="n"/>
      <c r="E61" s="37" t="n"/>
      <c r="F61" s="1080">
        <f>SUM(F58:F60)</f>
        <v/>
      </c>
      <c r="G61" s="1075">
        <f>+F61/#REF!</f>
        <v/>
      </c>
    </row>
    <row r="62" ht="18" customFormat="1" customHeight="1" s="14" thickBot="1">
      <c r="B62" s="1081" t="n"/>
      <c r="C62" s="243" t="n"/>
      <c r="D62" s="243" t="n"/>
      <c r="E62" s="38" t="n"/>
      <c r="F62" s="1082" t="n"/>
    </row>
    <row r="63" ht="20.1" customFormat="1" customHeight="1" s="14">
      <c r="B63" s="1061" t="inlineStr">
        <is>
          <t>3.4 INSUMOS DE LIMPIEZA Y CAFETERÍA</t>
        </is>
      </c>
      <c r="C63" s="1062" t="n"/>
      <c r="D63" s="1062" t="n"/>
      <c r="E63" s="1062" t="n"/>
      <c r="F63" s="1063" t="n"/>
    </row>
    <row r="64" ht="35.1" customFormat="1" customHeight="1" s="14">
      <c r="B64" s="34" t="inlineStr">
        <is>
          <t>ITEM</t>
        </is>
      </c>
      <c r="C64" s="35" t="inlineStr">
        <is>
          <t>DESCRIPCION</t>
        </is>
      </c>
      <c r="D64" s="35" t="inlineStr">
        <is>
          <t xml:space="preserve">PRECIO UNITARIO </t>
        </is>
      </c>
      <c r="E64" s="35" t="inlineStr">
        <is>
          <t>CANTIDAD</t>
        </is>
      </c>
      <c r="F64" s="36" t="inlineStr">
        <is>
          <t>COSTO TOTAL</t>
        </is>
      </c>
    </row>
    <row r="65" ht="18" customFormat="1" customHeight="1" s="14">
      <c r="B65" s="15" t="inlineStr">
        <is>
          <t>3.4.1</t>
        </is>
      </c>
      <c r="C65" s="223" t="n"/>
      <c r="D65" s="1071" t="n">
        <v>0</v>
      </c>
      <c r="E65" s="218" t="n">
        <v>0</v>
      </c>
      <c r="F65" s="1068">
        <f>+E65*D65</f>
        <v/>
      </c>
    </row>
    <row r="66" ht="18" customFormat="1" customHeight="1" s="14">
      <c r="B66" s="15" t="inlineStr">
        <is>
          <t>3.4.2</t>
        </is>
      </c>
      <c r="C66" s="223" t="n"/>
      <c r="D66" s="1071" t="n"/>
      <c r="E66" s="218" t="n"/>
      <c r="F66" s="1068">
        <f>+E66*D66</f>
        <v/>
      </c>
    </row>
    <row r="67" ht="18" customFormat="1" customHeight="1" s="14" thickBot="1">
      <c r="B67" s="16" t="inlineStr">
        <is>
          <t>3.4.3</t>
        </is>
      </c>
      <c r="C67" s="232" t="n"/>
      <c r="D67" s="1078" t="n"/>
      <c r="E67" s="229" t="n"/>
      <c r="F67" s="1085">
        <f>+E67*D67</f>
        <v/>
      </c>
      <c r="G67" s="77" t="n"/>
    </row>
    <row r="68" ht="18" customFormat="1" customHeight="1" s="14">
      <c r="B68" s="1079" t="inlineStr">
        <is>
          <t>SUBTOTAL  INSUMOS DE LIMPIEZA Y CAFETERÍA</t>
        </is>
      </c>
      <c r="C68" s="99" t="n"/>
      <c r="D68" s="99" t="n"/>
      <c r="E68" s="37" t="n"/>
      <c r="F68" s="1080">
        <f>SUM(F65:F67)</f>
        <v/>
      </c>
      <c r="G68" s="1075">
        <f>+F68/#REF!</f>
        <v/>
      </c>
    </row>
    <row r="69" ht="18" customFormat="1" customHeight="1" s="14" thickBot="1">
      <c r="B69" s="1081" t="n"/>
      <c r="C69" s="243" t="n"/>
      <c r="D69" s="243" t="n"/>
      <c r="E69" s="38" t="n"/>
      <c r="F69" s="1082" t="n"/>
    </row>
    <row r="70" ht="20.1" customFormat="1" customHeight="1" s="14">
      <c r="B70" s="39" t="n"/>
      <c r="C70" s="805" t="inlineStr">
        <is>
          <t>3.5 ELEMENTOS DE SEGURIDAD Y PROTECCIÓN PERSONAL</t>
        </is>
      </c>
      <c r="D70" s="1062" t="n"/>
      <c r="E70" s="1062" t="n"/>
      <c r="F70" s="1001" t="n"/>
    </row>
    <row r="71" ht="35.1" customFormat="1" customHeight="1" s="14">
      <c r="B71" s="15" t="inlineStr">
        <is>
          <t>ITEM</t>
        </is>
      </c>
      <c r="C71" s="35" t="inlineStr">
        <is>
          <t>DESCRIPCION</t>
        </is>
      </c>
      <c r="D71" s="35" t="inlineStr">
        <is>
          <t xml:space="preserve">PRECIO UNITARIO </t>
        </is>
      </c>
      <c r="E71" s="35" t="inlineStr">
        <is>
          <t>CANT.</t>
        </is>
      </c>
      <c r="F71" s="36" t="inlineStr">
        <is>
          <t>COSTO TOTAL</t>
        </is>
      </c>
    </row>
    <row r="72" ht="18" customFormat="1" customHeight="1" s="14">
      <c r="B72" s="15" t="inlineStr">
        <is>
          <t>3.5.1</t>
        </is>
      </c>
      <c r="C72" s="219" t="n"/>
      <c r="D72" s="1067" t="n">
        <v>0</v>
      </c>
      <c r="E72" s="316" t="n">
        <v>0</v>
      </c>
      <c r="F72" s="1068">
        <f>+E72*D72</f>
        <v/>
      </c>
      <c r="H72" s="14" t="inlineStr">
        <is>
          <t>CANTIDAD DE PERSONAL</t>
        </is>
      </c>
    </row>
    <row r="73" ht="18" customFormat="1" customHeight="1" s="14">
      <c r="B73" s="15" t="inlineStr">
        <is>
          <t>3.5.2</t>
        </is>
      </c>
      <c r="C73" s="219" t="n"/>
      <c r="D73" s="1069" t="n">
        <v>0</v>
      </c>
      <c r="E73" s="316" t="n">
        <v>0</v>
      </c>
      <c r="F73" s="1068">
        <f>+E73*D73</f>
        <v/>
      </c>
      <c r="H73" s="464">
        <f>'1 MANO DE OBRA'!L45</f>
        <v/>
      </c>
      <c r="I73" s="14">
        <f>H73*80+350*2*H73/12</f>
        <v/>
      </c>
    </row>
    <row r="74" ht="18" customFormat="1" customHeight="1" s="14">
      <c r="B74" s="15" t="inlineStr">
        <is>
          <t>3.5.3</t>
        </is>
      </c>
      <c r="C74" s="219" t="n"/>
      <c r="D74" s="1069" t="n">
        <v>0</v>
      </c>
      <c r="E74" s="316" t="n">
        <v>0</v>
      </c>
      <c r="F74" s="1068">
        <f>+E74*D74</f>
        <v/>
      </c>
    </row>
    <row r="75" ht="18" customFormat="1" customHeight="1" s="14">
      <c r="B75" s="15" t="inlineStr">
        <is>
          <t>3.5.4</t>
        </is>
      </c>
      <c r="C75" s="219" t="n"/>
      <c r="D75" s="1069" t="n">
        <v>0</v>
      </c>
      <c r="E75" s="316" t="n">
        <v>0</v>
      </c>
      <c r="F75" s="1068">
        <f>+E75*D75</f>
        <v/>
      </c>
    </row>
    <row r="76" ht="18" customFormat="1" customHeight="1" s="14">
      <c r="B76" s="15" t="inlineStr">
        <is>
          <t>3.5.5</t>
        </is>
      </c>
      <c r="C76" s="219" t="n"/>
      <c r="D76" s="1069" t="n">
        <v>0</v>
      </c>
      <c r="E76" s="316" t="n">
        <v>0</v>
      </c>
      <c r="F76" s="1068">
        <f>+E76*D76</f>
        <v/>
      </c>
    </row>
    <row r="77" ht="18" customFormat="1" customHeight="1" s="14">
      <c r="B77" s="15" t="inlineStr">
        <is>
          <t>3.5.6</t>
        </is>
      </c>
      <c r="C77" s="219" t="n"/>
      <c r="D77" s="1067" t="n">
        <v>0</v>
      </c>
      <c r="E77" s="316" t="n">
        <v>0</v>
      </c>
      <c r="F77" s="1068">
        <f>+E77*D77</f>
        <v/>
      </c>
    </row>
    <row r="78" ht="18" customFormat="1" customHeight="1" s="14">
      <c r="B78" s="15" t="inlineStr">
        <is>
          <t>3.5.7</t>
        </is>
      </c>
      <c r="C78" s="219" t="n"/>
      <c r="D78" s="1067" t="n">
        <v>0</v>
      </c>
      <c r="E78" s="316" t="n">
        <v>0</v>
      </c>
      <c r="F78" s="1068">
        <f>+E78*D78</f>
        <v/>
      </c>
    </row>
    <row r="79" ht="18" customFormat="1" customHeight="1" s="14">
      <c r="B79" s="15" t="inlineStr">
        <is>
          <t>3.5.8</t>
        </is>
      </c>
      <c r="C79" s="219" t="n"/>
      <c r="D79" s="1067" t="n">
        <v>0</v>
      </c>
      <c r="E79" s="316" t="n">
        <v>0</v>
      </c>
      <c r="F79" s="1068">
        <f>+E79*D79</f>
        <v/>
      </c>
    </row>
    <row r="80" ht="18" customFormat="1" customHeight="1" s="14">
      <c r="B80" s="15" t="inlineStr">
        <is>
          <t>3.5.9</t>
        </is>
      </c>
      <c r="C80" s="219" t="n"/>
      <c r="D80" s="1067" t="n">
        <v>0</v>
      </c>
      <c r="E80" s="316" t="n">
        <v>0</v>
      </c>
      <c r="F80" s="1068">
        <f>+E80*D80</f>
        <v/>
      </c>
    </row>
    <row r="81" ht="18" customFormat="1" customHeight="1" s="14">
      <c r="B81" s="15" t="inlineStr">
        <is>
          <t>3.5.10</t>
        </is>
      </c>
      <c r="C81" s="219" t="n"/>
      <c r="D81" s="1067" t="n">
        <v>0</v>
      </c>
      <c r="E81" s="316" t="n">
        <v>0</v>
      </c>
      <c r="F81" s="1068">
        <f>+E81*D81</f>
        <v/>
      </c>
    </row>
    <row r="82" ht="18" customFormat="1" customHeight="1" s="14">
      <c r="B82" s="15" t="inlineStr">
        <is>
          <t>3.5.11</t>
        </is>
      </c>
      <c r="C82" s="219" t="n"/>
      <c r="D82" s="1086" t="n">
        <v>0</v>
      </c>
      <c r="E82" s="316" t="n">
        <v>0</v>
      </c>
      <c r="F82" s="1068">
        <f>+E82*D82</f>
        <v/>
      </c>
    </row>
    <row r="83" ht="18" customFormat="1" customHeight="1" s="14">
      <c r="B83" s="15" t="inlineStr">
        <is>
          <t>3.5.12</t>
        </is>
      </c>
      <c r="C83" s="219" t="n"/>
      <c r="D83" s="1086" t="n">
        <v>0</v>
      </c>
      <c r="E83" s="218" t="n">
        <v>0</v>
      </c>
      <c r="F83" s="1068">
        <f>+E83*D83</f>
        <v/>
      </c>
    </row>
    <row r="84" ht="18" customFormat="1" customHeight="1" s="14">
      <c r="B84" s="15" t="inlineStr">
        <is>
          <t>3.5.13</t>
        </is>
      </c>
      <c r="C84" s="219" t="n"/>
      <c r="D84" s="1086" t="n">
        <v>0</v>
      </c>
      <c r="E84" s="347" t="n">
        <v>0</v>
      </c>
      <c r="F84" s="1068">
        <f>+E84*D84</f>
        <v/>
      </c>
      <c r="H84" s="1060" t="n"/>
    </row>
    <row r="85" ht="18" customFormat="1" customHeight="1" s="14">
      <c r="B85" s="15" t="inlineStr">
        <is>
          <t>3.5.14</t>
        </is>
      </c>
      <c r="C85" s="219" t="n"/>
      <c r="D85" s="1086" t="n">
        <v>0</v>
      </c>
      <c r="E85" s="218" t="n">
        <v>0</v>
      </c>
      <c r="F85" s="1068">
        <f>+E85*D85</f>
        <v/>
      </c>
      <c r="H85" s="1060" t="n"/>
    </row>
    <row r="86" ht="18" customFormat="1" customHeight="1" s="14" thickBot="1">
      <c r="B86" s="15" t="inlineStr">
        <is>
          <t>3.5.15</t>
        </is>
      </c>
      <c r="C86" s="219" t="n"/>
      <c r="D86" s="1086" t="n">
        <v>0</v>
      </c>
      <c r="E86" s="218" t="n">
        <v>0</v>
      </c>
      <c r="F86" s="1068">
        <f>+E86*D86</f>
        <v/>
      </c>
      <c r="G86" s="77" t="n"/>
    </row>
    <row r="87" ht="18" customHeight="1">
      <c r="B87" s="1079" t="inlineStr">
        <is>
          <t>SUBTOTAL  ELEMENTOS DE SEGURIDAD Y PROTECCIÓN PERSONAL</t>
        </is>
      </c>
      <c r="C87" s="99" t="n"/>
      <c r="D87" s="99" t="n"/>
      <c r="E87" s="37" t="n"/>
      <c r="F87" s="1087">
        <f>SUM(F72:F86)</f>
        <v/>
      </c>
      <c r="G87" s="1075" t="n"/>
    </row>
    <row r="88" ht="18" customHeight="1" thickBot="1">
      <c r="B88" s="1081" t="n"/>
      <c r="C88" s="243" t="n"/>
      <c r="D88" s="243" t="n"/>
      <c r="E88" s="38" t="n"/>
      <c r="F88" s="1088" t="n"/>
      <c r="H88" s="1060">
        <f>+F87/#REF!</f>
        <v/>
      </c>
    </row>
    <row r="89" ht="18" customHeight="1">
      <c r="B89" s="1061" t="inlineStr">
        <is>
          <t xml:space="preserve">3.6 INSUMOS DIVERSOS </t>
        </is>
      </c>
      <c r="C89" s="1062" t="n"/>
      <c r="D89" s="1062" t="n"/>
      <c r="E89" s="1062" t="n"/>
      <c r="F89" s="1063" t="n"/>
    </row>
    <row r="90" ht="35.1" customHeight="1">
      <c r="B90" s="34" t="inlineStr">
        <is>
          <t>ITEM</t>
        </is>
      </c>
      <c r="C90" s="35" t="inlineStr">
        <is>
          <t>DESCRIPCION</t>
        </is>
      </c>
      <c r="D90" s="35" t="inlineStr">
        <is>
          <t xml:space="preserve">PRECIO UNITARIO </t>
        </is>
      </c>
      <c r="E90" s="35" t="inlineStr">
        <is>
          <t>CANTIDAD</t>
        </is>
      </c>
      <c r="F90" s="36" t="inlineStr">
        <is>
          <t>COSTO TOTAL</t>
        </is>
      </c>
    </row>
    <row r="91" ht="18" customHeight="1">
      <c r="B91" s="15" t="inlineStr">
        <is>
          <t>3.6.1</t>
        </is>
      </c>
      <c r="C91" s="225" t="n"/>
      <c r="D91" s="1089" t="n"/>
      <c r="E91" s="218" t="n"/>
      <c r="F91" s="1090">
        <f>+E91*D91</f>
        <v/>
      </c>
      <c r="H91" s="13" t="n">
        <v>0</v>
      </c>
    </row>
    <row r="92" ht="18" customHeight="1">
      <c r="B92" s="15" t="inlineStr">
        <is>
          <t>3.6.2</t>
        </is>
      </c>
      <c r="C92" s="235" t="n"/>
      <c r="D92" s="1089" t="n"/>
      <c r="E92" s="218" t="n"/>
      <c r="F92" s="1090">
        <f>+E92*D92</f>
        <v/>
      </c>
    </row>
    <row r="93" ht="18" customHeight="1">
      <c r="B93" s="15" t="inlineStr">
        <is>
          <t>3.6.3</t>
        </is>
      </c>
      <c r="C93" s="235" t="n"/>
      <c r="D93" s="1089" t="n"/>
      <c r="E93" s="218" t="n"/>
      <c r="F93" s="1090">
        <f>+E93*D93</f>
        <v/>
      </c>
    </row>
    <row r="94" ht="18" customHeight="1">
      <c r="B94" s="15" t="inlineStr">
        <is>
          <t>3.6.4</t>
        </is>
      </c>
      <c r="C94" s="235" t="n"/>
      <c r="D94" s="1089" t="n"/>
      <c r="E94" s="218" t="n"/>
      <c r="F94" s="1090">
        <f>+E94*D94</f>
        <v/>
      </c>
    </row>
    <row r="95" ht="18" customHeight="1" thickBot="1">
      <c r="B95" s="15" t="inlineStr">
        <is>
          <t>3.6.5</t>
        </is>
      </c>
      <c r="C95" s="235" t="n"/>
      <c r="D95" s="1089" t="n"/>
      <c r="E95" s="218" t="n"/>
      <c r="F95" s="1090">
        <f>+E95*D95</f>
        <v/>
      </c>
    </row>
    <row r="96" ht="18" customHeight="1">
      <c r="B96" s="1079" t="inlineStr">
        <is>
          <t>SUBTOTAL  INSUMOS DIVERSOS</t>
        </is>
      </c>
      <c r="C96" s="99" t="n"/>
      <c r="D96" s="99" t="n"/>
      <c r="E96" s="99" t="n"/>
      <c r="F96" s="1091">
        <f>SUM(F91:F95)</f>
        <v/>
      </c>
      <c r="G96" s="1075" t="n"/>
    </row>
    <row r="97" ht="18" customHeight="1" thickBot="1">
      <c r="B97" s="1081" t="n"/>
      <c r="C97" s="243" t="n"/>
      <c r="D97" s="243" t="n"/>
      <c r="E97" s="243" t="n"/>
      <c r="F97" s="1092" t="n"/>
    </row>
    <row r="98">
      <c r="B98" s="180" t="n"/>
    </row>
  </sheetData>
  <mergeCells count="26">
    <mergeCell ref="C1:E1"/>
    <mergeCell ref="C70:F70"/>
    <mergeCell ref="G61:G62"/>
    <mergeCell ref="B96:E97"/>
    <mergeCell ref="B54:D55"/>
    <mergeCell ref="G39:G40"/>
    <mergeCell ref="B56:F56"/>
    <mergeCell ref="G87:G88"/>
    <mergeCell ref="B7:E7"/>
    <mergeCell ref="G68:G69"/>
    <mergeCell ref="B8:F8"/>
    <mergeCell ref="B61:D62"/>
    <mergeCell ref="F61:F62"/>
    <mergeCell ref="F96:F97"/>
    <mergeCell ref="B39:D40"/>
    <mergeCell ref="F39:F40"/>
    <mergeCell ref="C41:F41"/>
    <mergeCell ref="G54:G55"/>
    <mergeCell ref="B68:D69"/>
    <mergeCell ref="B89:F89"/>
    <mergeCell ref="G96:G97"/>
    <mergeCell ref="B87:D88"/>
    <mergeCell ref="B63:F63"/>
    <mergeCell ref="F87:F88"/>
    <mergeCell ref="F54:F55"/>
    <mergeCell ref="F68:F69"/>
  </mergeCells>
  <printOptions horizontalCentered="1"/>
  <pageMargins left="0.7874015748031497" right="0.3937007874015748" top="0.3937007874015748" bottom="0.3937007874015748" header="0" footer="0"/>
  <pageSetup orientation="portrait" paperSize="9" scale="59" fitToHeight="0"/>
  <headerFooter alignWithMargins="0">
    <oddHeader/>
    <oddFooter>&amp;L&amp;P - &amp;N CONFIDENCIAL&amp;C&amp;D&amp;R&amp;F - &amp;A</oddFooter>
    <evenHeader/>
    <evenFooter/>
    <firstHeader/>
    <firstFooter/>
  </headerFooter>
  <rowBreaks count="1" manualBreakCount="1">
    <brk id="62" min="1" max="6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W123"/>
  <sheetViews>
    <sheetView showGridLines="0" view="pageBreakPreview" topLeftCell="A16" zoomScale="75" zoomScaleNormal="50" workbookViewId="0">
      <selection activeCell="D12" sqref="D12"/>
    </sheetView>
  </sheetViews>
  <sheetFormatPr baseColWidth="10" defaultColWidth="11.44140625" defaultRowHeight="13.2"/>
  <cols>
    <col width="3.44140625" customWidth="1" min="1" max="1"/>
    <col width="21.44140625" bestFit="1" customWidth="1" min="2" max="2"/>
    <col width="79" customWidth="1" min="3" max="3"/>
    <col width="20.33203125" bestFit="1" customWidth="1" style="823" min="4" max="4"/>
    <col width="16.5546875" bestFit="1" customWidth="1" min="5" max="5"/>
    <col width="21.6640625" customWidth="1" min="6" max="6"/>
    <col width="15.6640625" customWidth="1" min="7" max="7"/>
    <col width="5.6640625" bestFit="1" customWidth="1" min="8" max="8"/>
    <col width="2.33203125" bestFit="1" customWidth="1" min="9" max="9"/>
    <col width="4.109375" bestFit="1" customWidth="1" min="10" max="10"/>
    <col width="3.109375" bestFit="1" customWidth="1" min="11" max="11"/>
    <col width="5.33203125" bestFit="1" customWidth="1" min="12" max="12"/>
    <col width="10.33203125" bestFit="1" customWidth="1" min="13" max="13"/>
    <col width="5.109375" bestFit="1" customWidth="1" min="16" max="16"/>
    <col width="2" bestFit="1" customWidth="1" min="17" max="17"/>
    <col width="3.109375" bestFit="1" customWidth="1" min="19" max="19"/>
    <col width="17" bestFit="1" customWidth="1" min="20" max="20"/>
  </cols>
  <sheetData>
    <row r="1" ht="30" customFormat="1" customHeight="1" s="4">
      <c r="B1" s="821" t="inlineStr">
        <is>
          <t>4 - SUBCONTRATACIONES</t>
        </is>
      </c>
      <c r="C1" s="99" t="n"/>
      <c r="D1" s="99" t="n"/>
      <c r="E1" s="99" t="n"/>
      <c r="F1" s="31" t="n"/>
    </row>
    <row r="2" ht="10.5" customFormat="1" customHeight="1" s="4">
      <c r="B2" s="205" t="n"/>
      <c r="C2" s="205" t="n"/>
      <c r="D2" s="205" t="n"/>
      <c r="E2" s="205" t="n"/>
      <c r="F2" s="19" t="n"/>
    </row>
    <row r="3" customFormat="1" s="4">
      <c r="B3" s="595" t="inlineStr">
        <is>
          <t>CLIENTE:</t>
        </is>
      </c>
      <c r="C3" s="559">
        <f>'Sintesis Economica'!C2</f>
        <v/>
      </c>
      <c r="D3" s="559" t="n"/>
      <c r="E3" s="3" t="inlineStr">
        <is>
          <t>J. de PROYECTO:</t>
        </is>
      </c>
      <c r="F3" s="19">
        <f>'Sintesis Economica'!J2</f>
        <v/>
      </c>
    </row>
    <row r="4" customFormat="1" s="4">
      <c r="B4" s="595" t="inlineStr">
        <is>
          <t>OBRA :</t>
        </is>
      </c>
      <c r="C4" s="559">
        <f>'Sintesis Economica'!C3</f>
        <v/>
      </c>
      <c r="D4" s="559" t="n"/>
      <c r="E4" s="3" t="inlineStr">
        <is>
          <t>Elaboró:</t>
        </is>
      </c>
      <c r="F4" s="19">
        <f>'Sintesis Economica'!J3</f>
        <v/>
      </c>
    </row>
    <row r="5" customFormat="1" s="4">
      <c r="B5" s="595" t="inlineStr">
        <is>
          <t>PLIEGO / E.T.P.Nº:</t>
        </is>
      </c>
      <c r="C5" s="559">
        <f>'Sintesis Economica'!C5</f>
        <v/>
      </c>
      <c r="D5" s="559" t="n"/>
      <c r="E5" s="3" t="inlineStr">
        <is>
          <t>Revisó:</t>
        </is>
      </c>
      <c r="F5" s="19">
        <f>'Sintesis Economica'!J4</f>
        <v/>
      </c>
    </row>
    <row r="6" ht="13.8" customFormat="1" customHeight="1" s="4" thickBot="1">
      <c r="B6" s="596" t="inlineStr">
        <is>
          <t>OFERTA N°:</t>
        </is>
      </c>
      <c r="C6" s="561">
        <f>'Sintesis Economica'!C6</f>
        <v/>
      </c>
      <c r="D6" s="562" t="n"/>
      <c r="E6" s="22" t="n"/>
      <c r="F6" s="23" t="n"/>
    </row>
    <row r="7" ht="24" customHeight="1" thickBot="1">
      <c r="B7" s="1074" t="inlineStr">
        <is>
          <t>TOTAL COSTO DE SUBCONTRATACIONES</t>
        </is>
      </c>
      <c r="C7" s="917" t="n"/>
      <c r="D7" s="917" t="n"/>
      <c r="E7" s="17" t="n"/>
      <c r="F7" s="1059">
        <f>+F26+F47+F68+F89+F110</f>
        <v/>
      </c>
    </row>
    <row r="8" ht="17.4" customHeight="1">
      <c r="B8" s="1061" t="inlineStr">
        <is>
          <t>4.1 HONORARIOS PROFESIONALES</t>
        </is>
      </c>
      <c r="C8" s="1062" t="n"/>
      <c r="D8" s="1062" t="n"/>
      <c r="E8" s="1062" t="n"/>
      <c r="F8" s="1063" t="n"/>
    </row>
    <row r="9">
      <c r="B9" s="189" t="inlineStr">
        <is>
          <t>ITEM</t>
        </is>
      </c>
      <c r="C9" s="35" t="inlineStr">
        <is>
          <t>DESCRIPCION</t>
        </is>
      </c>
      <c r="D9" s="35" t="inlineStr">
        <is>
          <t xml:space="preserve">PRECIO UNITARIO </t>
        </is>
      </c>
      <c r="E9" s="35" t="inlineStr">
        <is>
          <t>CANT.</t>
        </is>
      </c>
      <c r="F9" s="35" t="inlineStr">
        <is>
          <t>COSTO TOTAL</t>
        </is>
      </c>
    </row>
    <row r="10" ht="15" customHeight="1">
      <c r="B10" s="15" t="inlineStr">
        <is>
          <t>4.1.1</t>
        </is>
      </c>
      <c r="C10" s="225" t="n"/>
      <c r="D10" s="1067" t="n">
        <v>0</v>
      </c>
      <c r="E10" s="218" t="n">
        <v>0</v>
      </c>
      <c r="F10" s="1065">
        <f>+E10*D10</f>
        <v/>
      </c>
    </row>
    <row r="11" ht="15" customHeight="1">
      <c r="B11" s="15" t="inlineStr">
        <is>
          <t>4.1.2</t>
        </is>
      </c>
      <c r="C11" s="225" t="n"/>
      <c r="D11" s="1067" t="n">
        <v>0</v>
      </c>
      <c r="E11" s="218" t="n">
        <v>0</v>
      </c>
      <c r="F11" s="1065">
        <f>+E11*D11</f>
        <v/>
      </c>
    </row>
    <row r="12" ht="15" customHeight="1">
      <c r="B12" s="15" t="inlineStr">
        <is>
          <t>4.1.3</t>
        </is>
      </c>
      <c r="C12" s="225" t="n"/>
      <c r="D12" s="1067" t="n">
        <v>0</v>
      </c>
      <c r="E12" s="218" t="n">
        <v>0</v>
      </c>
      <c r="F12" s="1065">
        <f>+E12*D12</f>
        <v/>
      </c>
    </row>
    <row r="13" ht="15" customHeight="1">
      <c r="B13" s="15" t="inlineStr">
        <is>
          <t>4.1.4</t>
        </is>
      </c>
      <c r="C13" s="225" t="n"/>
      <c r="D13" s="1067" t="n">
        <v>0</v>
      </c>
      <c r="E13" s="218" t="n">
        <v>0</v>
      </c>
      <c r="F13" s="1065">
        <f>+E13*D13</f>
        <v/>
      </c>
    </row>
    <row r="14" ht="15" customHeight="1">
      <c r="B14" s="15" t="inlineStr">
        <is>
          <t>4.1.5</t>
        </is>
      </c>
      <c r="C14" s="225" t="n"/>
      <c r="D14" s="1067" t="n">
        <v>0</v>
      </c>
      <c r="E14" s="218" t="n">
        <v>0</v>
      </c>
      <c r="F14" s="1065">
        <f>+E14*D14</f>
        <v/>
      </c>
    </row>
    <row r="15" ht="15" customHeight="1">
      <c r="B15" s="15" t="inlineStr">
        <is>
          <t>4.1.6</t>
        </is>
      </c>
      <c r="C15" s="225" t="n"/>
      <c r="D15" s="1067" t="n">
        <v>0</v>
      </c>
      <c r="E15" s="218" t="n">
        <v>0</v>
      </c>
      <c r="F15" s="1065">
        <f>+E15*D15</f>
        <v/>
      </c>
    </row>
    <row r="16" ht="15" customHeight="1">
      <c r="B16" s="15" t="inlineStr">
        <is>
          <t>4.1.7</t>
        </is>
      </c>
      <c r="C16" s="225" t="n"/>
      <c r="D16" s="1067" t="n">
        <v>0</v>
      </c>
      <c r="E16" s="218" t="n">
        <v>0</v>
      </c>
      <c r="F16" s="1065">
        <f>+E16*D16</f>
        <v/>
      </c>
    </row>
    <row r="17" ht="15" customHeight="1">
      <c r="B17" s="15" t="inlineStr">
        <is>
          <t>4.1.8</t>
        </is>
      </c>
      <c r="C17" s="225" t="n"/>
      <c r="D17" s="1067" t="n">
        <v>0</v>
      </c>
      <c r="E17" s="218" t="n">
        <v>0</v>
      </c>
      <c r="F17" s="1065">
        <f>+E17*D17</f>
        <v/>
      </c>
    </row>
    <row r="18" ht="15" customHeight="1">
      <c r="B18" s="15" t="inlineStr">
        <is>
          <t>4.1.9</t>
        </is>
      </c>
      <c r="C18" s="225" t="n"/>
      <c r="D18" s="1067" t="n">
        <v>0</v>
      </c>
      <c r="E18" s="218" t="n">
        <v>0</v>
      </c>
      <c r="F18" s="1065">
        <f>+E18*D18</f>
        <v/>
      </c>
    </row>
    <row r="19" ht="15" customHeight="1">
      <c r="B19" s="15" t="inlineStr">
        <is>
          <t>4.1.10</t>
        </is>
      </c>
      <c r="C19" s="225" t="n"/>
      <c r="D19" s="1067" t="n">
        <v>0</v>
      </c>
      <c r="E19" s="218" t="n">
        <v>0</v>
      </c>
      <c r="F19" s="1065">
        <f>+E19*D19</f>
        <v/>
      </c>
    </row>
    <row r="20" ht="15" customHeight="1">
      <c r="B20" s="15" t="inlineStr">
        <is>
          <t>4.1.11</t>
        </is>
      </c>
      <c r="C20" s="225" t="n"/>
      <c r="D20" s="1067" t="n">
        <v>0</v>
      </c>
      <c r="E20" s="218" t="n">
        <v>0</v>
      </c>
      <c r="F20" s="1065">
        <f>+E20*D20</f>
        <v/>
      </c>
    </row>
    <row r="21" ht="15" customHeight="1">
      <c r="B21" s="15" t="inlineStr">
        <is>
          <t>4.1.12</t>
        </is>
      </c>
      <c r="C21" s="225" t="n"/>
      <c r="D21" s="1067" t="n">
        <v>0</v>
      </c>
      <c r="E21" s="218" t="n">
        <v>0</v>
      </c>
      <c r="F21" s="1065">
        <f>+E21*D21</f>
        <v/>
      </c>
    </row>
    <row r="22" ht="15" customHeight="1">
      <c r="B22" s="15" t="inlineStr">
        <is>
          <t>4.1.13</t>
        </is>
      </c>
      <c r="C22" s="225" t="n"/>
      <c r="D22" s="1067" t="n">
        <v>0</v>
      </c>
      <c r="E22" s="218" t="n">
        <v>0</v>
      </c>
      <c r="F22" s="1065">
        <f>+E22*D22</f>
        <v/>
      </c>
    </row>
    <row r="23" ht="15" customHeight="1">
      <c r="B23" s="15" t="inlineStr">
        <is>
          <t>4.1.14</t>
        </is>
      </c>
      <c r="C23" s="225" t="n"/>
      <c r="D23" s="1067" t="n">
        <v>0</v>
      </c>
      <c r="E23" s="218" t="n">
        <v>0</v>
      </c>
      <c r="F23" s="1065">
        <f>+E23*D23</f>
        <v/>
      </c>
    </row>
    <row r="24" ht="15" customHeight="1">
      <c r="B24" s="15" t="inlineStr">
        <is>
          <t>4.1.15</t>
        </is>
      </c>
      <c r="C24" s="225" t="n"/>
      <c r="D24" s="1067" t="n">
        <v>0</v>
      </c>
      <c r="E24" s="218" t="n">
        <v>0</v>
      </c>
      <c r="F24" s="1065">
        <f>+E24*D24</f>
        <v/>
      </c>
    </row>
    <row r="25" ht="15.6" customHeight="1" thickBot="1">
      <c r="B25" s="15" t="inlineStr">
        <is>
          <t>4.1.16</t>
        </is>
      </c>
      <c r="C25" s="225" t="n"/>
      <c r="D25" s="1067" t="n">
        <v>0</v>
      </c>
      <c r="E25" s="218" t="n">
        <v>0</v>
      </c>
      <c r="F25" s="1065">
        <f>+E25*D25</f>
        <v/>
      </c>
    </row>
    <row r="26">
      <c r="B26" s="1079" t="inlineStr">
        <is>
          <t>SUBTOTAL HONORARIOS PROFESIONALES</t>
        </is>
      </c>
      <c r="C26" s="99" t="n"/>
      <c r="D26" s="99" t="n"/>
      <c r="E26" s="37" t="n"/>
      <c r="F26" s="1080">
        <f>SUM(F10:F25)</f>
        <v/>
      </c>
    </row>
    <row r="27" ht="13.8" customHeight="1" thickBot="1">
      <c r="B27" s="1081" t="n"/>
      <c r="C27" s="243" t="n"/>
      <c r="D27" s="243" t="n"/>
      <c r="E27" s="38" t="n"/>
      <c r="F27" s="1082" t="n"/>
    </row>
    <row r="28" ht="13.8" customHeight="1" thickBot="1"/>
    <row r="29" ht="17.4" customHeight="1">
      <c r="B29" s="1061" t="inlineStr">
        <is>
          <t>4.2 SERVICIOS TECNICOS ESPECIALIZADOS</t>
        </is>
      </c>
      <c r="C29" s="1062" t="n"/>
      <c r="D29" s="1062" t="n"/>
      <c r="E29" s="1062" t="n"/>
      <c r="F29" s="1063" t="n"/>
    </row>
    <row r="30">
      <c r="B30" s="189" t="inlineStr">
        <is>
          <t>ITEM</t>
        </is>
      </c>
      <c r="C30" s="35" t="inlineStr">
        <is>
          <t>DESCRIPCION</t>
        </is>
      </c>
      <c r="D30" s="35" t="inlineStr">
        <is>
          <t xml:space="preserve">PRECIO UNITARIO </t>
        </is>
      </c>
      <c r="E30" s="35" t="inlineStr">
        <is>
          <t>CANT.</t>
        </is>
      </c>
      <c r="F30" s="35" t="inlineStr">
        <is>
          <t>COSTO TOTAL</t>
        </is>
      </c>
    </row>
    <row r="31" ht="15" customHeight="1">
      <c r="B31" s="15" t="inlineStr">
        <is>
          <t>4.2.1</t>
        </is>
      </c>
      <c r="C31" s="225" t="n"/>
      <c r="D31" s="1067" t="n"/>
      <c r="E31" s="218" t="n"/>
      <c r="F31" s="1065">
        <f>+E31*D31</f>
        <v/>
      </c>
      <c r="G31" s="823" t="n">
        <v>0</v>
      </c>
    </row>
    <row r="32" ht="15" customHeight="1">
      <c r="B32" s="15" t="inlineStr">
        <is>
          <t>4.2.2</t>
        </is>
      </c>
      <c r="C32" s="225" t="n"/>
      <c r="D32" s="1067" t="n"/>
      <c r="E32" s="347" t="n"/>
      <c r="F32" s="1065">
        <f>+E32*D32</f>
        <v/>
      </c>
    </row>
    <row r="33" ht="15" customHeight="1">
      <c r="B33" s="15" t="inlineStr">
        <is>
          <t>4.2.3</t>
        </is>
      </c>
      <c r="C33" s="225" t="n"/>
      <c r="D33" s="1067" t="n"/>
      <c r="E33" s="218" t="n"/>
      <c r="F33" s="1065">
        <f>+E33*D33</f>
        <v/>
      </c>
    </row>
    <row r="34" ht="15" customHeight="1">
      <c r="B34" s="15" t="inlineStr">
        <is>
          <t>4.2.4</t>
        </is>
      </c>
      <c r="C34" s="225" t="n"/>
      <c r="D34" s="1067" t="n"/>
      <c r="E34" s="218" t="n"/>
      <c r="F34" s="1065">
        <f>+E34*D34</f>
        <v/>
      </c>
    </row>
    <row r="35" ht="15" customHeight="1">
      <c r="B35" s="15" t="inlineStr">
        <is>
          <t>4.2.5</t>
        </is>
      </c>
      <c r="C35" s="225" t="n"/>
      <c r="D35" s="1067" t="n"/>
      <c r="E35" s="218" t="n"/>
      <c r="F35" s="1065">
        <f>+E35*D35</f>
        <v/>
      </c>
    </row>
    <row r="36" ht="15" customHeight="1">
      <c r="B36" s="15" t="inlineStr">
        <is>
          <t>4.2.6</t>
        </is>
      </c>
      <c r="C36" s="225" t="n"/>
      <c r="D36" s="1067" t="n"/>
      <c r="E36" s="218" t="n"/>
      <c r="F36" s="1065">
        <f>+E36*D36</f>
        <v/>
      </c>
    </row>
    <row r="37" ht="15" customHeight="1">
      <c r="B37" s="15" t="inlineStr">
        <is>
          <t>4.2.7</t>
        </is>
      </c>
      <c r="C37" s="225" t="n"/>
      <c r="D37" s="1067" t="n"/>
      <c r="E37" s="218" t="n"/>
      <c r="F37" s="1065">
        <f>+E37*D37</f>
        <v/>
      </c>
    </row>
    <row r="38" ht="15" customHeight="1">
      <c r="B38" s="15" t="inlineStr">
        <is>
          <t>4.2.8</t>
        </is>
      </c>
      <c r="C38" s="225" t="n"/>
      <c r="D38" s="1067" t="n"/>
      <c r="E38" s="218" t="n"/>
      <c r="F38" s="1065">
        <f>+E38*D38</f>
        <v/>
      </c>
    </row>
    <row r="39" ht="15" customHeight="1">
      <c r="B39" s="15" t="inlineStr">
        <is>
          <t>4.2.9</t>
        </is>
      </c>
      <c r="C39" s="225" t="n"/>
      <c r="D39" s="1067" t="n"/>
      <c r="E39" s="218" t="n"/>
      <c r="F39" s="1065">
        <f>+E39*D39</f>
        <v/>
      </c>
    </row>
    <row r="40" ht="15" customHeight="1">
      <c r="B40" s="15" t="inlineStr">
        <is>
          <t>4.2.10</t>
        </is>
      </c>
      <c r="C40" s="225" t="n"/>
      <c r="D40" s="1067" t="n"/>
      <c r="E40" s="218" t="n"/>
      <c r="F40" s="1065">
        <f>+E40*D40</f>
        <v/>
      </c>
    </row>
    <row r="41" ht="15" customHeight="1">
      <c r="B41" s="15" t="inlineStr">
        <is>
          <t>4.2.11</t>
        </is>
      </c>
      <c r="C41" s="225" t="n"/>
      <c r="D41" s="1067" t="n"/>
      <c r="E41" s="218" t="n"/>
      <c r="F41" s="1065">
        <f>+E41*D41</f>
        <v/>
      </c>
    </row>
    <row r="42" ht="15" customHeight="1">
      <c r="B42" s="15" t="inlineStr">
        <is>
          <t>4.2.12</t>
        </is>
      </c>
      <c r="C42" s="225" t="n"/>
      <c r="D42" s="1067" t="n"/>
      <c r="E42" s="218" t="n"/>
      <c r="F42" s="1065">
        <f>+E42*D42</f>
        <v/>
      </c>
    </row>
    <row r="43" ht="15" customHeight="1">
      <c r="B43" s="15" t="inlineStr">
        <is>
          <t>4.2.13</t>
        </is>
      </c>
      <c r="C43" s="225" t="n"/>
      <c r="D43" s="1067" t="n"/>
      <c r="E43" s="218" t="n"/>
      <c r="F43" s="1065">
        <f>+E43*D43</f>
        <v/>
      </c>
    </row>
    <row r="44" ht="15" customHeight="1">
      <c r="B44" s="15" t="inlineStr">
        <is>
          <t>4.2.14</t>
        </is>
      </c>
      <c r="C44" s="225" t="n"/>
      <c r="D44" s="1067" t="n"/>
      <c r="E44" s="218" t="n"/>
      <c r="F44" s="1065">
        <f>+E44*D44</f>
        <v/>
      </c>
    </row>
    <row r="45" ht="15" customHeight="1">
      <c r="B45" s="15" t="inlineStr">
        <is>
          <t>4.2.15</t>
        </is>
      </c>
      <c r="C45" s="225" t="n"/>
      <c r="D45" s="1067" t="n"/>
      <c r="E45" s="218" t="n"/>
      <c r="F45" s="1065">
        <f>+E45*D45</f>
        <v/>
      </c>
    </row>
    <row r="46" ht="15.6" customHeight="1" thickBot="1">
      <c r="B46" s="15" t="inlineStr">
        <is>
          <t>4.2.16</t>
        </is>
      </c>
      <c r="C46" s="225" t="n"/>
      <c r="D46" s="1067" t="n"/>
      <c r="E46" s="218" t="n"/>
      <c r="F46" s="1065">
        <f>+E46*D46</f>
        <v/>
      </c>
    </row>
    <row r="47">
      <c r="B47" s="1079" t="inlineStr">
        <is>
          <t>SUBTOTAL SERVICIOS TECNICOS ESPECIALIZADOS</t>
        </is>
      </c>
      <c r="C47" s="99" t="n"/>
      <c r="D47" s="99" t="n"/>
      <c r="E47" s="37" t="n"/>
      <c r="F47" s="1080">
        <f>SUM(F31:F46)</f>
        <v/>
      </c>
    </row>
    <row r="48" ht="13.8" customHeight="1" thickBot="1">
      <c r="B48" s="1081" t="n"/>
      <c r="C48" s="243" t="n"/>
      <c r="D48" s="243" t="n"/>
      <c r="E48" s="38" t="n"/>
      <c r="F48" s="1082" t="n"/>
    </row>
    <row r="49" ht="13.8" customHeight="1" thickBot="1"/>
    <row r="50" ht="17.4" customHeight="1">
      <c r="B50" s="1061" t="inlineStr">
        <is>
          <t>4.3 TRANSPORTES, FLESTES, CARGAS Y DESCARGAS</t>
        </is>
      </c>
      <c r="C50" s="1062" t="n"/>
      <c r="D50" s="1062" t="n"/>
      <c r="E50" s="1062" t="n"/>
      <c r="F50" s="1063" t="n"/>
    </row>
    <row r="51">
      <c r="B51" s="189" t="inlineStr">
        <is>
          <t>ITEM</t>
        </is>
      </c>
      <c r="C51" s="35" t="inlineStr">
        <is>
          <t>DESCRIPCION</t>
        </is>
      </c>
      <c r="D51" s="35" t="inlineStr">
        <is>
          <t xml:space="preserve">PRECIO UNITARIO </t>
        </is>
      </c>
      <c r="E51" s="35" t="inlineStr">
        <is>
          <t>CANT.</t>
        </is>
      </c>
      <c r="F51" s="35" t="inlineStr">
        <is>
          <t>COSTO TOTAL</t>
        </is>
      </c>
    </row>
    <row r="52" ht="15" customHeight="1">
      <c r="B52" s="15" t="inlineStr">
        <is>
          <t>4.3.1</t>
        </is>
      </c>
      <c r="C52" s="225" t="n"/>
      <c r="D52" s="1067" t="n"/>
      <c r="E52" s="218" t="n"/>
      <c r="F52" s="1065">
        <f>+E52*D52</f>
        <v/>
      </c>
    </row>
    <row r="53" ht="15.6" customHeight="1">
      <c r="B53" s="15" t="inlineStr">
        <is>
          <t>4.3.2</t>
        </is>
      </c>
      <c r="C53" s="345" t="n"/>
      <c r="D53" s="1067" t="n"/>
      <c r="E53" s="218" t="n"/>
      <c r="F53" s="1065">
        <f>+E53*D53</f>
        <v/>
      </c>
    </row>
    <row r="54" ht="15" customHeight="1">
      <c r="B54" s="15" t="inlineStr">
        <is>
          <t>4.3.3</t>
        </is>
      </c>
      <c r="C54" s="225" t="n"/>
      <c r="D54" s="1067" t="n"/>
      <c r="E54" s="218" t="n"/>
      <c r="F54" s="1065">
        <f>+E54*D54</f>
        <v/>
      </c>
    </row>
    <row r="55" ht="15" customHeight="1">
      <c r="B55" s="15" t="inlineStr">
        <is>
          <t>4.3.4</t>
        </is>
      </c>
      <c r="C55" s="225" t="n"/>
      <c r="D55" s="1067" t="n"/>
      <c r="E55" s="218" t="n"/>
      <c r="F55" s="1065">
        <f>+E55*D55</f>
        <v/>
      </c>
    </row>
    <row r="56" ht="15" customHeight="1">
      <c r="B56" s="15" t="inlineStr">
        <is>
          <t>4.3.5</t>
        </is>
      </c>
      <c r="C56" s="225" t="n"/>
      <c r="D56" s="1067" t="n"/>
      <c r="E56" s="218" t="n"/>
      <c r="F56" s="1065">
        <f>+E56*D56</f>
        <v/>
      </c>
    </row>
    <row r="57" ht="15" customHeight="1">
      <c r="B57" s="15" t="inlineStr">
        <is>
          <t>4.3.6</t>
        </is>
      </c>
      <c r="C57" s="225" t="n"/>
      <c r="D57" s="1067" t="n"/>
      <c r="E57" s="218" t="n"/>
      <c r="F57" s="1065">
        <f>+E57*D57</f>
        <v/>
      </c>
    </row>
    <row r="58" ht="15" customHeight="1">
      <c r="B58" s="15" t="inlineStr">
        <is>
          <t>4.3.7</t>
        </is>
      </c>
      <c r="C58" s="225" t="n"/>
      <c r="D58" s="1067" t="n"/>
      <c r="E58" s="218" t="n"/>
      <c r="F58" s="1065">
        <f>+E58*D58</f>
        <v/>
      </c>
    </row>
    <row r="59" ht="15" customHeight="1">
      <c r="B59" s="15" t="inlineStr">
        <is>
          <t>4.3.8</t>
        </is>
      </c>
      <c r="C59" s="225" t="n"/>
      <c r="D59" s="1067" t="n"/>
      <c r="E59" s="218" t="n"/>
      <c r="F59" s="1065">
        <f>+E59*D59</f>
        <v/>
      </c>
    </row>
    <row r="60" ht="15" customHeight="1">
      <c r="B60" s="15" t="inlineStr">
        <is>
          <t>4.3.9</t>
        </is>
      </c>
      <c r="C60" s="225" t="n"/>
      <c r="D60" s="1067" t="n"/>
      <c r="E60" s="218" t="n"/>
      <c r="F60" s="1065">
        <f>+E60*D60</f>
        <v/>
      </c>
    </row>
    <row r="61" ht="15" customHeight="1">
      <c r="B61" s="15" t="inlineStr">
        <is>
          <t>4.3.10</t>
        </is>
      </c>
      <c r="C61" s="225" t="n"/>
      <c r="D61" s="1067" t="n"/>
      <c r="E61" s="218" t="n"/>
      <c r="F61" s="1065">
        <f>+E61*D61</f>
        <v/>
      </c>
    </row>
    <row r="62" ht="15" customHeight="1">
      <c r="B62" s="15" t="inlineStr">
        <is>
          <t>4.3.11</t>
        </is>
      </c>
      <c r="C62" s="225" t="n"/>
      <c r="D62" s="1067" t="n"/>
      <c r="E62" s="218" t="n"/>
      <c r="F62" s="1065">
        <f>+E62*D62</f>
        <v/>
      </c>
    </row>
    <row r="63" ht="15" customHeight="1">
      <c r="B63" s="15" t="inlineStr">
        <is>
          <t>4.3.12</t>
        </is>
      </c>
      <c r="C63" s="225" t="n"/>
      <c r="D63" s="1067" t="n"/>
      <c r="E63" s="218" t="n"/>
      <c r="F63" s="1065">
        <f>+E63*D63</f>
        <v/>
      </c>
    </row>
    <row r="64" ht="15" customHeight="1">
      <c r="B64" s="15" t="inlineStr">
        <is>
          <t>4.3.13</t>
        </is>
      </c>
      <c r="C64" s="225" t="n"/>
      <c r="D64" s="1067" t="n"/>
      <c r="E64" s="218" t="n"/>
      <c r="F64" s="1065">
        <f>+E64*D64</f>
        <v/>
      </c>
    </row>
    <row r="65" ht="15.6" customHeight="1">
      <c r="B65" s="15" t="inlineStr">
        <is>
          <t>4.3.14</t>
        </is>
      </c>
      <c r="C65" s="345" t="n"/>
      <c r="D65" s="1067" t="n"/>
      <c r="E65" s="218" t="n"/>
      <c r="F65" s="1065">
        <f>+E65*D65</f>
        <v/>
      </c>
    </row>
    <row r="66" ht="15.6" customHeight="1">
      <c r="B66" s="15" t="inlineStr">
        <is>
          <t>4.3.15</t>
        </is>
      </c>
      <c r="C66" s="346" t="n"/>
      <c r="D66" s="1067" t="n"/>
      <c r="E66" s="218" t="n"/>
      <c r="F66" s="1065">
        <f>+E66*D66</f>
        <v/>
      </c>
    </row>
    <row r="67" ht="15.6" customHeight="1" thickBot="1">
      <c r="B67" s="15" t="inlineStr">
        <is>
          <t>4.3.16</t>
        </is>
      </c>
      <c r="C67" s="225" t="n"/>
      <c r="D67" s="1067" t="n"/>
      <c r="E67" s="218" t="n"/>
      <c r="F67" s="1065">
        <f>+E67*D67</f>
        <v/>
      </c>
    </row>
    <row r="68">
      <c r="B68" s="1079" t="inlineStr">
        <is>
          <t>SUBTOTAL TRASNPORTE Y FLETES</t>
        </is>
      </c>
      <c r="C68" s="99" t="n"/>
      <c r="D68" s="99" t="n"/>
      <c r="E68" s="37" t="n"/>
      <c r="F68" s="1080">
        <f>SUM(F52:F67)</f>
        <v/>
      </c>
    </row>
    <row r="69" ht="13.8" customHeight="1" thickBot="1">
      <c r="B69" s="1081" t="n"/>
      <c r="C69" s="243" t="n"/>
      <c r="D69" s="243" t="n"/>
      <c r="E69" s="38" t="n"/>
      <c r="F69" s="1082" t="n"/>
    </row>
    <row r="70" ht="13.8" customHeight="1" thickBot="1"/>
    <row r="71" ht="17.4" customHeight="1">
      <c r="B71" s="1061" t="inlineStr">
        <is>
          <t>4.4 TRABAJOS EJECUTADOS POR TERCEROS</t>
        </is>
      </c>
      <c r="C71" s="1062" t="n"/>
      <c r="D71" s="1062" t="n"/>
      <c r="E71" s="1062" t="n"/>
      <c r="F71" s="1063" t="n"/>
    </row>
    <row r="72">
      <c r="B72" s="189" t="inlineStr">
        <is>
          <t>ITEM</t>
        </is>
      </c>
      <c r="C72" s="35" t="inlineStr">
        <is>
          <t>DESCRIPCION</t>
        </is>
      </c>
      <c r="D72" s="35" t="inlineStr">
        <is>
          <t xml:space="preserve">PRECIO UNITARIO </t>
        </is>
      </c>
      <c r="E72" s="35" t="inlineStr">
        <is>
          <t>CANT.</t>
        </is>
      </c>
      <c r="F72" s="35" t="inlineStr">
        <is>
          <t>COSTO TOTAL</t>
        </is>
      </c>
    </row>
    <row r="73" ht="15" customHeight="1">
      <c r="B73" s="15" t="inlineStr">
        <is>
          <t>4.4.1</t>
        </is>
      </c>
      <c r="C73" s="225" t="n"/>
      <c r="D73" s="1067" t="n"/>
      <c r="E73" s="218" t="n"/>
      <c r="F73" s="1065">
        <f>+E73*D73</f>
        <v/>
      </c>
    </row>
    <row r="74" ht="15" customHeight="1">
      <c r="B74" s="15" t="inlineStr">
        <is>
          <t>4.4.2</t>
        </is>
      </c>
      <c r="C74" s="225" t="n"/>
      <c r="D74" s="1067" t="n"/>
      <c r="E74" s="218" t="n"/>
      <c r="F74" s="1065">
        <f>+E74*D74</f>
        <v/>
      </c>
    </row>
    <row r="75" ht="15" customHeight="1">
      <c r="B75" s="15" t="inlineStr">
        <is>
          <t>4.4.3</t>
        </is>
      </c>
      <c r="C75" s="225" t="n"/>
      <c r="D75" s="1067" t="n"/>
      <c r="E75" s="218" t="n"/>
      <c r="F75" s="1065">
        <f>+E75*D75</f>
        <v/>
      </c>
    </row>
    <row r="76" ht="15" customHeight="1">
      <c r="B76" s="15" t="inlineStr">
        <is>
          <t>4.4.4</t>
        </is>
      </c>
      <c r="C76" s="225" t="n"/>
      <c r="D76" s="1067" t="n"/>
      <c r="E76" s="218" t="n"/>
      <c r="F76" s="1065">
        <f>+E76*D76</f>
        <v/>
      </c>
    </row>
    <row r="77" ht="15" customHeight="1">
      <c r="B77" s="15" t="inlineStr">
        <is>
          <t>4.4.5</t>
        </is>
      </c>
      <c r="C77" s="225" t="n"/>
      <c r="D77" s="1067" t="n"/>
      <c r="E77" s="218" t="n"/>
      <c r="F77" s="1065">
        <f>+E77*D77</f>
        <v/>
      </c>
    </row>
    <row r="78" ht="15" customHeight="1">
      <c r="B78" s="15" t="inlineStr">
        <is>
          <t>4.4.6</t>
        </is>
      </c>
      <c r="C78" s="225" t="n"/>
      <c r="D78" s="1067" t="n"/>
      <c r="E78" s="218" t="n"/>
      <c r="F78" s="1065">
        <f>+E78*D78</f>
        <v/>
      </c>
    </row>
    <row r="79" ht="15" customHeight="1">
      <c r="B79" s="15" t="inlineStr">
        <is>
          <t>4.4.7</t>
        </is>
      </c>
      <c r="C79" s="225" t="n"/>
      <c r="D79" s="1067" t="n"/>
      <c r="E79" s="218" t="n"/>
      <c r="F79" s="1065">
        <f>+E79*D79</f>
        <v/>
      </c>
    </row>
    <row r="80" ht="15" customHeight="1">
      <c r="B80" s="15" t="inlineStr">
        <is>
          <t>4.4.8</t>
        </is>
      </c>
      <c r="C80" s="225" t="n"/>
      <c r="D80" s="1067" t="n"/>
      <c r="E80" s="218" t="n"/>
      <c r="F80" s="1065">
        <f>+E80*D80</f>
        <v/>
      </c>
    </row>
    <row r="81" ht="15" customHeight="1">
      <c r="B81" s="15" t="inlineStr">
        <is>
          <t>4.4.9</t>
        </is>
      </c>
      <c r="C81" s="225" t="n"/>
      <c r="D81" s="1067" t="n"/>
      <c r="E81" s="218" t="n"/>
      <c r="F81" s="1065">
        <f>+E81*D81</f>
        <v/>
      </c>
    </row>
    <row r="82" ht="15" customHeight="1">
      <c r="B82" s="15" t="inlineStr">
        <is>
          <t>4.4.10</t>
        </is>
      </c>
      <c r="C82" s="225" t="n"/>
      <c r="D82" s="1067" t="n"/>
      <c r="E82" s="218" t="n"/>
      <c r="F82" s="1065">
        <f>+E82*D82</f>
        <v/>
      </c>
    </row>
    <row r="83" ht="15" customHeight="1">
      <c r="B83" s="15" t="inlineStr">
        <is>
          <t>4.4.11</t>
        </is>
      </c>
      <c r="C83" s="225" t="n"/>
      <c r="D83" s="1067" t="n"/>
      <c r="E83" s="218" t="n"/>
      <c r="F83" s="1065">
        <f>+E83*D83</f>
        <v/>
      </c>
    </row>
    <row r="84" ht="15" customHeight="1">
      <c r="B84" s="15" t="inlineStr">
        <is>
          <t>4.4.12</t>
        </is>
      </c>
      <c r="C84" s="225" t="n"/>
      <c r="D84" s="1067" t="n"/>
      <c r="E84" s="218" t="n"/>
      <c r="F84" s="1065">
        <f>+E84*D84</f>
        <v/>
      </c>
    </row>
    <row r="85" ht="15" customHeight="1">
      <c r="B85" s="15" t="inlineStr">
        <is>
          <t>4.4.13</t>
        </is>
      </c>
      <c r="C85" s="225" t="n"/>
      <c r="D85" s="1067" t="n"/>
      <c r="E85" s="218" t="n"/>
      <c r="F85" s="1065">
        <f>+E85*D85</f>
        <v/>
      </c>
    </row>
    <row r="86" ht="15" customHeight="1">
      <c r="B86" s="15" t="inlineStr">
        <is>
          <t>4.4.14</t>
        </is>
      </c>
      <c r="C86" s="225" t="n"/>
      <c r="D86" s="1067" t="n"/>
      <c r="E86" s="218" t="n"/>
      <c r="F86" s="1065">
        <f>+E86*D86</f>
        <v/>
      </c>
    </row>
    <row r="87" ht="15" customHeight="1">
      <c r="B87" s="15" t="inlineStr">
        <is>
          <t>4.4.15</t>
        </is>
      </c>
      <c r="C87" s="225" t="n"/>
      <c r="D87" s="1067" t="n"/>
      <c r="E87" s="218" t="n"/>
      <c r="F87" s="1065">
        <f>+E87*D87</f>
        <v/>
      </c>
    </row>
    <row r="88" ht="15.6" customHeight="1" thickBot="1">
      <c r="B88" s="15" t="inlineStr">
        <is>
          <t>4.4.16</t>
        </is>
      </c>
      <c r="C88" s="225" t="n"/>
      <c r="D88" s="1067" t="n"/>
      <c r="E88" s="218" t="n"/>
      <c r="F88" s="1065">
        <f>+E88*D88</f>
        <v/>
      </c>
    </row>
    <row r="89">
      <c r="B89" s="1079" t="inlineStr">
        <is>
          <t>SUBTOTAL TRABAJOS EJECUTADOS POR TERCEROS</t>
        </is>
      </c>
      <c r="C89" s="99" t="n"/>
      <c r="D89" s="99" t="n"/>
      <c r="E89" s="37" t="n"/>
      <c r="F89" s="1080">
        <f>SUM(F73:F88)</f>
        <v/>
      </c>
    </row>
    <row r="90" ht="13.8" customHeight="1" thickBot="1">
      <c r="B90" s="1081" t="n"/>
      <c r="C90" s="243" t="n"/>
      <c r="D90" s="243" t="n"/>
      <c r="E90" s="38" t="n"/>
      <c r="F90" s="1082" t="n"/>
    </row>
    <row r="91" ht="13.8" customHeight="1" thickBot="1"/>
    <row r="92" ht="17.4" customHeight="1">
      <c r="B92" s="1061" t="inlineStr">
        <is>
          <t>4.5 SERVICIOS VARIOS / OTROS</t>
        </is>
      </c>
      <c r="C92" s="1062" t="n"/>
      <c r="D92" s="1062" t="n"/>
      <c r="E92" s="1062" t="n"/>
      <c r="F92" s="1063" t="n"/>
    </row>
    <row r="93">
      <c r="B93" s="189" t="inlineStr">
        <is>
          <t>ITEM</t>
        </is>
      </c>
      <c r="C93" s="35" t="inlineStr">
        <is>
          <t>DESCRIPCION</t>
        </is>
      </c>
      <c r="D93" s="35" t="inlineStr">
        <is>
          <t xml:space="preserve">PRECIO UNITARIO </t>
        </is>
      </c>
      <c r="E93" s="35" t="inlineStr">
        <is>
          <t>CANT.</t>
        </is>
      </c>
      <c r="F93" s="35" t="inlineStr">
        <is>
          <t>COSTO TOTAL</t>
        </is>
      </c>
    </row>
    <row r="94" ht="15" customHeight="1">
      <c r="B94" s="15" t="inlineStr">
        <is>
          <t>4.5.1</t>
        </is>
      </c>
      <c r="C94" s="225" t="n"/>
      <c r="D94" s="1067" t="n"/>
      <c r="E94" s="218" t="n"/>
      <c r="F94" s="1065">
        <f>+E94*D94</f>
        <v/>
      </c>
      <c r="G94" s="823" t="n">
        <v>0</v>
      </c>
    </row>
    <row r="95" ht="15" customHeight="1">
      <c r="B95" s="15" t="inlineStr">
        <is>
          <t>4.5.2</t>
        </is>
      </c>
      <c r="C95" s="225" t="n"/>
      <c r="D95" s="1067" t="n"/>
      <c r="E95" s="218" t="n"/>
      <c r="F95" s="1065">
        <f>+E95*D95</f>
        <v/>
      </c>
    </row>
    <row r="96" ht="15" customHeight="1">
      <c r="B96" s="15" t="inlineStr">
        <is>
          <t>4.5.3</t>
        </is>
      </c>
      <c r="C96" s="225" t="n"/>
      <c r="D96" s="1067" t="n"/>
      <c r="E96" s="218" t="n"/>
      <c r="F96" s="1065">
        <f>+E96*D96</f>
        <v/>
      </c>
    </row>
    <row r="97" ht="15" customHeight="1">
      <c r="B97" s="15" t="inlineStr">
        <is>
          <t>4.5.4</t>
        </is>
      </c>
      <c r="C97" s="225" t="n"/>
      <c r="D97" s="1067" t="n"/>
      <c r="E97" s="218" t="n"/>
      <c r="F97" s="1065">
        <f>+E97*D97</f>
        <v/>
      </c>
    </row>
    <row r="98" ht="15" customHeight="1">
      <c r="B98" s="15" t="inlineStr">
        <is>
          <t>4.5.5</t>
        </is>
      </c>
      <c r="C98" s="225" t="n"/>
      <c r="D98" s="1067" t="n"/>
      <c r="E98" s="218" t="n"/>
      <c r="F98" s="1065">
        <f>+E98*D98</f>
        <v/>
      </c>
    </row>
    <row r="99" ht="15" customHeight="1">
      <c r="B99" s="15" t="inlineStr">
        <is>
          <t>4.5.6</t>
        </is>
      </c>
      <c r="C99" s="225" t="n"/>
      <c r="D99" s="1067" t="n"/>
      <c r="E99" s="218" t="n"/>
      <c r="F99" s="1065">
        <f>+E99*D99</f>
        <v/>
      </c>
    </row>
    <row r="100" ht="15" customHeight="1">
      <c r="B100" s="15" t="inlineStr">
        <is>
          <t>4.5.7</t>
        </is>
      </c>
      <c r="C100" s="225" t="n"/>
      <c r="D100" s="1067" t="n"/>
      <c r="E100" s="218" t="n"/>
      <c r="F100" s="1065">
        <f>+E100*D100</f>
        <v/>
      </c>
    </row>
    <row r="101" ht="15" customHeight="1">
      <c r="B101" s="15" t="inlineStr">
        <is>
          <t>4.5.8</t>
        </is>
      </c>
      <c r="C101" s="225" t="n"/>
      <c r="D101" s="1067" t="n"/>
      <c r="E101" s="218" t="n"/>
      <c r="F101" s="1065">
        <f>+E101*D101</f>
        <v/>
      </c>
    </row>
    <row r="102" ht="15" customHeight="1">
      <c r="B102" s="15" t="inlineStr">
        <is>
          <t>4.5.9</t>
        </is>
      </c>
      <c r="C102" s="225" t="n"/>
      <c r="D102" s="1067" t="n"/>
      <c r="E102" s="218" t="n"/>
      <c r="F102" s="1065">
        <f>+E102*D102</f>
        <v/>
      </c>
    </row>
    <row r="103" ht="15" customHeight="1">
      <c r="B103" s="15" t="inlineStr">
        <is>
          <t>4.5.10</t>
        </is>
      </c>
      <c r="C103" s="225" t="n"/>
      <c r="D103" s="1067" t="n"/>
      <c r="E103" s="218" t="n"/>
      <c r="F103" s="1065">
        <f>+E103*D103</f>
        <v/>
      </c>
    </row>
    <row r="104" ht="15" customHeight="1">
      <c r="B104" s="15" t="inlineStr">
        <is>
          <t>4.5.11</t>
        </is>
      </c>
      <c r="C104" s="225" t="n"/>
      <c r="D104" s="1067" t="n"/>
      <c r="E104" s="218" t="n"/>
      <c r="F104" s="1065">
        <f>+E104*D104</f>
        <v/>
      </c>
    </row>
    <row r="105" ht="15" customHeight="1">
      <c r="B105" s="15" t="inlineStr">
        <is>
          <t>4.5.12</t>
        </is>
      </c>
      <c r="C105" s="225" t="n"/>
      <c r="D105" s="1067" t="n"/>
      <c r="E105" s="218" t="n"/>
      <c r="F105" s="1065">
        <f>+E105*D105</f>
        <v/>
      </c>
    </row>
    <row r="106" ht="15" customHeight="1">
      <c r="B106" s="15" t="inlineStr">
        <is>
          <t>4.5.13</t>
        </is>
      </c>
      <c r="C106" s="225" t="n"/>
      <c r="D106" s="1067" t="n"/>
      <c r="E106" s="218" t="n"/>
      <c r="F106" s="1065">
        <f>+E106*D106</f>
        <v/>
      </c>
    </row>
    <row r="107" ht="15" customHeight="1">
      <c r="B107" s="15" t="inlineStr">
        <is>
          <t>4.5.14</t>
        </is>
      </c>
      <c r="C107" s="225" t="n"/>
      <c r="D107" s="1067" t="n"/>
      <c r="E107" s="218" t="n"/>
      <c r="F107" s="1065">
        <f>+E107*D107</f>
        <v/>
      </c>
    </row>
    <row r="108" ht="15" customHeight="1">
      <c r="B108" s="15" t="inlineStr">
        <is>
          <t>4.5.15</t>
        </is>
      </c>
      <c r="C108" s="225" t="n"/>
      <c r="D108" s="1067" t="n"/>
      <c r="E108" s="218" t="n"/>
      <c r="F108" s="1065">
        <f>+E108*D108</f>
        <v/>
      </c>
    </row>
    <row r="109" ht="15.6" customHeight="1" thickBot="1">
      <c r="B109" s="15" t="inlineStr">
        <is>
          <t>4.5.16</t>
        </is>
      </c>
      <c r="C109" s="225" t="n"/>
      <c r="D109" s="1067" t="n"/>
      <c r="E109" s="218" t="n"/>
      <c r="F109" s="1065">
        <f>+E109*D109</f>
        <v/>
      </c>
    </row>
    <row r="110">
      <c r="B110" s="1079" t="inlineStr">
        <is>
          <t>SUBTOTAL SERVICIOS VARIOS</t>
        </is>
      </c>
      <c r="C110" s="99" t="n"/>
      <c r="D110" s="99" t="n"/>
      <c r="E110" s="37" t="n"/>
      <c r="F110" s="1080">
        <f>SUM(F94:F109)</f>
        <v/>
      </c>
    </row>
    <row r="111" ht="13.8" customHeight="1" thickBot="1">
      <c r="B111" s="1081" t="n"/>
      <c r="C111" s="243" t="n"/>
      <c r="D111" s="243" t="n"/>
      <c r="E111" s="38" t="n"/>
      <c r="F111" s="1082" t="n"/>
    </row>
    <row r="115">
      <c r="B115" s="826" t="inlineStr">
        <is>
          <t>ADICIONAL MTO. CORRECTIVO PROGRAMADO MAYOR CON PEGAMENTOS</t>
        </is>
      </c>
      <c r="C115" s="846" t="n"/>
      <c r="D115" s="846" t="n"/>
      <c r="E115" s="846" t="n"/>
      <c r="F115" s="846" t="n"/>
      <c r="G115" s="846" t="n"/>
      <c r="H115" s="846" t="n"/>
      <c r="I115" s="846" t="n"/>
      <c r="J115" s="846" t="n"/>
      <c r="K115" s="846" t="n"/>
      <c r="L115" s="846" t="n"/>
      <c r="M115" s="846" t="n"/>
      <c r="N115" s="846" t="n"/>
      <c r="O115" s="847" t="n"/>
      <c r="P115" s="826" t="n"/>
      <c r="Q115" s="847" t="n"/>
      <c r="R115" s="1093">
        <f>+T117</f>
        <v/>
      </c>
      <c r="S115" s="846" t="n"/>
      <c r="T115" s="847" t="n"/>
      <c r="U115" s="822" t="n"/>
      <c r="W115" s="861" t="n"/>
    </row>
    <row r="116"/>
    <row r="117">
      <c r="B117" s="597" t="n"/>
      <c r="C117" s="1094" t="n">
        <v>3.5</v>
      </c>
      <c r="D117" s="598" t="inlineStr">
        <is>
          <t>Ho</t>
        </is>
      </c>
      <c r="E117" s="417" t="n">
        <v>8</v>
      </c>
      <c r="F117" s="597" t="inlineStr">
        <is>
          <t>Hs</t>
        </is>
      </c>
      <c r="G117" s="417" t="n">
        <v>3</v>
      </c>
      <c r="H117" s="597" t="inlineStr">
        <is>
          <t>turnos</t>
        </is>
      </c>
      <c r="I117" s="597" t="n">
        <v>3</v>
      </c>
      <c r="J117" s="597" t="inlineStr">
        <is>
          <t>dias</t>
        </is>
      </c>
      <c r="K117" s="599" t="n">
        <v>4</v>
      </c>
      <c r="L117" s="597" t="inlineStr">
        <is>
          <t>veces</t>
        </is>
      </c>
      <c r="M117" s="1095" t="n">
        <v>32</v>
      </c>
      <c r="N117" s="597" t="inlineStr">
        <is>
          <t>$/HH</t>
        </is>
      </c>
      <c r="O117" s="598" t="n">
        <v>1</v>
      </c>
      <c r="P117" s="597" t="inlineStr">
        <is>
          <t>Coef.</t>
        </is>
      </c>
      <c r="Q117" s="597" t="inlineStr">
        <is>
          <t>=</t>
        </is>
      </c>
      <c r="R117" s="1095">
        <f>+C117*E117*G117*I117*K117*M117*O117</f>
        <v/>
      </c>
      <c r="S117" s="824" t="n">
        <v>36</v>
      </c>
      <c r="T117" s="1096">
        <f>+R122/S117</f>
        <v/>
      </c>
      <c r="U117" s="597" t="n"/>
      <c r="V117" s="597" t="n"/>
      <c r="W117" s="597" t="n"/>
    </row>
    <row r="118">
      <c r="C118" s="1094">
        <f>+C117</f>
        <v/>
      </c>
      <c r="D118" s="598" t="inlineStr">
        <is>
          <t>Ho</t>
        </is>
      </c>
      <c r="E118" s="417" t="n">
        <v>2</v>
      </c>
      <c r="F118" s="597" t="inlineStr">
        <is>
          <t>Hs</t>
        </is>
      </c>
      <c r="G118" s="417" t="n">
        <v>3</v>
      </c>
      <c r="H118" s="597" t="inlineStr">
        <is>
          <t>turnos</t>
        </is>
      </c>
      <c r="I118" s="597" t="n">
        <v>3</v>
      </c>
      <c r="J118" s="597" t="inlineStr">
        <is>
          <t>dias</t>
        </is>
      </c>
      <c r="K118" s="599" t="n">
        <v>4</v>
      </c>
      <c r="L118" s="597" t="inlineStr">
        <is>
          <t>veces</t>
        </is>
      </c>
      <c r="M118" s="1095" t="n">
        <v>32</v>
      </c>
      <c r="N118" s="597" t="inlineStr">
        <is>
          <t>$/HH</t>
        </is>
      </c>
      <c r="O118" s="1097" t="n">
        <v>1.38</v>
      </c>
      <c r="P118" s="597" t="inlineStr">
        <is>
          <t>Coef.</t>
        </is>
      </c>
      <c r="Q118" s="597" t="inlineStr">
        <is>
          <t>=</t>
        </is>
      </c>
      <c r="R118" s="1095">
        <f>+C118*E118*G118*I118*K118*M118*O118</f>
        <v/>
      </c>
    </row>
    <row r="119">
      <c r="C119" s="1094">
        <f>+C118</f>
        <v/>
      </c>
      <c r="D119" s="598" t="inlineStr">
        <is>
          <t>Ho</t>
        </is>
      </c>
      <c r="E119" s="417" t="n">
        <v>2</v>
      </c>
      <c r="F119" s="597" t="inlineStr">
        <is>
          <t>Hs</t>
        </is>
      </c>
      <c r="G119" s="417" t="n">
        <v>3</v>
      </c>
      <c r="H119" s="597" t="inlineStr">
        <is>
          <t>turnos</t>
        </is>
      </c>
      <c r="I119" s="597" t="n">
        <v>3</v>
      </c>
      <c r="J119" s="597" t="inlineStr">
        <is>
          <t>dias</t>
        </is>
      </c>
      <c r="K119" s="599" t="n">
        <v>4</v>
      </c>
      <c r="L119" s="597" t="inlineStr">
        <is>
          <t>veces</t>
        </is>
      </c>
      <c r="M119" s="1095" t="n">
        <v>32</v>
      </c>
      <c r="N119" s="597" t="inlineStr">
        <is>
          <t>$/HH</t>
        </is>
      </c>
      <c r="O119" s="1097" t="n">
        <v>1.76</v>
      </c>
      <c r="P119" s="597" t="inlineStr">
        <is>
          <t>Coef.</t>
        </is>
      </c>
      <c r="Q119" s="597" t="inlineStr">
        <is>
          <t>=</t>
        </is>
      </c>
      <c r="R119" s="1095">
        <f>+C119*E119*G119*I119*K119*M119*O119</f>
        <v/>
      </c>
    </row>
    <row r="120">
      <c r="K120" s="599" t="n">
        <v>36</v>
      </c>
      <c r="L120" s="597" t="inlineStr">
        <is>
          <t>veces</t>
        </is>
      </c>
      <c r="M120" s="1095" t="n">
        <v>12000</v>
      </c>
      <c r="N120" s="597" t="inlineStr">
        <is>
          <t>Materiales</t>
        </is>
      </c>
      <c r="Q120" s="597" t="inlineStr">
        <is>
          <t>=</t>
        </is>
      </c>
      <c r="R120" s="1095">
        <f>+M120*K120</f>
        <v/>
      </c>
    </row>
    <row r="121"/>
    <row r="122">
      <c r="R122" s="1095">
        <f>+SUM(R117:R120)</f>
        <v/>
      </c>
    </row>
    <row r="123">
      <c r="R123" s="1095">
        <f>+R122-D73</f>
        <v/>
      </c>
    </row>
  </sheetData>
  <mergeCells count="23">
    <mergeCell ref="B89:D90"/>
    <mergeCell ref="B71:F71"/>
    <mergeCell ref="F89:F90"/>
    <mergeCell ref="B115:O115"/>
    <mergeCell ref="B110:D111"/>
    <mergeCell ref="B26:D27"/>
    <mergeCell ref="F26:F27"/>
    <mergeCell ref="S117:S120"/>
    <mergeCell ref="T117:T120"/>
    <mergeCell ref="P115:Q115"/>
    <mergeCell ref="B47:D48"/>
    <mergeCell ref="B7:E7"/>
    <mergeCell ref="F110:F111"/>
    <mergeCell ref="F47:F48"/>
    <mergeCell ref="B8:F8"/>
    <mergeCell ref="R115:T115"/>
    <mergeCell ref="B29:F29"/>
    <mergeCell ref="U115:V115"/>
    <mergeCell ref="B92:F92"/>
    <mergeCell ref="B1:E1"/>
    <mergeCell ref="B68:D69"/>
    <mergeCell ref="B50:F50"/>
    <mergeCell ref="F68:F69"/>
  </mergeCells>
  <printOptions horizontalCentered="1"/>
  <pageMargins left="0.7874015748031497" right="0.3937007874015748" top="0.3937007874015748" bottom="0.3937007874015748" header="0" footer="0"/>
  <pageSetup orientation="portrait" paperSize="9" scale="48"/>
  <headerFooter alignWithMargins="0">
    <oddHeader/>
    <oddFooter>&amp;L&amp;P - &amp;N CONFIDENCIAL&amp;C&amp;D&amp;R&amp;F - &amp;A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P121"/>
  <sheetViews>
    <sheetView view="pageBreakPreview" topLeftCell="A75" zoomScale="75" zoomScaleNormal="50" workbookViewId="0">
      <selection activeCell="G65" sqref="G65"/>
    </sheetView>
  </sheetViews>
  <sheetFormatPr baseColWidth="10" defaultColWidth="11.44140625" defaultRowHeight="13.2"/>
  <cols>
    <col width="6" customWidth="1" style="4" min="1" max="1"/>
    <col width="13.5546875" customWidth="1" style="13" min="2" max="2"/>
    <col width="104.44140625" customWidth="1" style="4" min="3" max="3"/>
    <col width="25.33203125" customWidth="1" style="4" min="4" max="4"/>
    <col width="10" customWidth="1" style="13" min="5" max="5"/>
    <col width="21.88671875" customWidth="1" style="4" min="6" max="6"/>
    <col width="14.88671875" customWidth="1" style="4" min="7" max="7"/>
    <col width="12" customWidth="1" style="4" min="8" max="8"/>
    <col width="21.33203125" customWidth="1" style="4" min="9" max="9"/>
    <col width="13" customWidth="1" style="13" min="10" max="10"/>
    <col width="22.5546875" bestFit="1" customWidth="1" style="4" min="11" max="11"/>
    <col width="5.109375" bestFit="1" customWidth="1" style="4" min="12" max="12"/>
    <col width="16.33203125" bestFit="1" customWidth="1" style="4" min="13" max="13"/>
    <col width="11.44140625" customWidth="1" style="4" min="14" max="14"/>
    <col width="16.109375" bestFit="1" customWidth="1" style="4" min="15" max="15"/>
    <col width="19.88671875" bestFit="1" customWidth="1" style="4" min="16" max="16"/>
    <col width="11.44140625" customWidth="1" style="4" min="17" max="16384"/>
  </cols>
  <sheetData>
    <row r="1" ht="30" customHeight="1">
      <c r="B1" s="1098" t="inlineStr">
        <is>
          <t>5- MONTO DE INVERSIÓN Y CÁLCULO DE AMORTIZACIÓN MENSUAL</t>
        </is>
      </c>
      <c r="C1" s="99" t="n"/>
      <c r="D1" s="99" t="n"/>
      <c r="E1" s="99" t="n"/>
      <c r="F1" s="99" t="n"/>
      <c r="G1" s="99" t="n"/>
      <c r="H1" s="99" t="n"/>
      <c r="I1" s="99" t="n"/>
      <c r="J1" s="99" t="n"/>
      <c r="K1" s="100" t="n"/>
    </row>
    <row r="2" ht="10.5" customHeight="1">
      <c r="B2" s="205" t="n"/>
      <c r="C2" s="205" t="n"/>
      <c r="D2" s="205" t="n"/>
      <c r="E2" s="205" t="n"/>
      <c r="F2" s="205" t="n"/>
      <c r="G2" s="205" t="n"/>
      <c r="H2" s="205" t="n"/>
      <c r="I2" s="205" t="n"/>
      <c r="J2" s="205" t="n"/>
      <c r="K2" s="208" t="n"/>
    </row>
    <row r="3" ht="15" customHeight="1">
      <c r="B3" s="563" t="inlineStr">
        <is>
          <t xml:space="preserve">CLIENTE: </t>
        </is>
      </c>
      <c r="C3" s="559">
        <f>'Sintesis Economica'!C2</f>
        <v/>
      </c>
      <c r="D3" s="559" t="n"/>
      <c r="E3" s="843" t="n"/>
      <c r="F3" s="18" t="n"/>
      <c r="J3" s="58" t="inlineStr">
        <is>
          <t xml:space="preserve"> </t>
        </is>
      </c>
      <c r="K3" s="19" t="n"/>
    </row>
    <row r="4" ht="15" customHeight="1">
      <c r="B4" s="563" t="inlineStr">
        <is>
          <t xml:space="preserve">OBRA : </t>
        </is>
      </c>
      <c r="C4" s="559">
        <f>'Sintesis Economica'!C3</f>
        <v/>
      </c>
      <c r="D4" s="559" t="n"/>
      <c r="E4" s="843" t="n"/>
      <c r="F4" s="18" t="n"/>
      <c r="I4" s="4" t="inlineStr">
        <is>
          <t>Jefe de Proyecto:</t>
        </is>
      </c>
      <c r="J4" s="4">
        <f>'Sintesis Economica'!J2</f>
        <v/>
      </c>
      <c r="K4" s="19" t="n"/>
    </row>
    <row r="5" ht="15" customHeight="1">
      <c r="B5" s="559" t="inlineStr">
        <is>
          <t>PLIEGO / E.T.P.Nº:</t>
        </is>
      </c>
      <c r="C5" s="559">
        <f>'Sintesis Economica'!C5</f>
        <v/>
      </c>
      <c r="D5" s="559" t="n"/>
      <c r="E5" s="843" t="n"/>
      <c r="F5" s="18" t="n"/>
      <c r="I5" s="4" t="inlineStr">
        <is>
          <t>Elaboró:</t>
        </is>
      </c>
      <c r="J5" s="4">
        <f>'Sintesis Economica'!J3</f>
        <v/>
      </c>
      <c r="K5" s="19" t="n"/>
    </row>
    <row r="6" ht="15" customHeight="1">
      <c r="B6" s="563" t="inlineStr">
        <is>
          <t>OFERTA N°:</t>
        </is>
      </c>
      <c r="C6" s="602">
        <f>'Sintesis Economica'!C6</f>
        <v/>
      </c>
      <c r="D6" s="559" t="n"/>
      <c r="E6" s="843" t="n"/>
      <c r="F6" s="18" t="n"/>
      <c r="I6" s="4" t="inlineStr">
        <is>
          <t>Revisó:</t>
        </is>
      </c>
      <c r="J6" s="4">
        <f>'Sintesis Economica'!J4</f>
        <v/>
      </c>
      <c r="K6" s="19" t="n"/>
    </row>
    <row r="7" ht="15.6" customHeight="1" thickBot="1">
      <c r="B7" s="20" t="n"/>
      <c r="C7" s="562" t="n"/>
      <c r="D7" s="562" t="n"/>
      <c r="E7" s="603" t="n"/>
      <c r="F7" s="21" t="n"/>
      <c r="G7" s="22" t="n"/>
      <c r="H7" s="22" t="n"/>
      <c r="I7" s="22" t="n"/>
      <c r="J7" s="59" t="n"/>
      <c r="K7" s="23" t="n"/>
    </row>
    <row r="8" ht="22.5" customHeight="1" thickBot="1">
      <c r="B8" s="1099" t="inlineStr">
        <is>
          <t>TOTAL MENSUAL AMORTIZABLE</t>
        </is>
      </c>
      <c r="C8" s="917" t="n"/>
      <c r="D8" s="917" t="n"/>
      <c r="E8" s="917" t="n"/>
      <c r="F8" s="917" t="n"/>
      <c r="G8" s="917" t="n"/>
      <c r="H8" s="917" t="n"/>
      <c r="I8" s="1100" t="n"/>
      <c r="J8" s="1101">
        <f>(K10+K23+K36+K49+K62+K75)</f>
        <v/>
      </c>
      <c r="K8" s="17" t="n"/>
    </row>
    <row r="9" ht="39.6" customFormat="1" customHeight="1" s="24">
      <c r="B9" s="107" t="inlineStr">
        <is>
          <t>ITEM</t>
        </is>
      </c>
      <c r="C9" s="604" t="inlineStr">
        <is>
          <t>Descripción</t>
        </is>
      </c>
      <c r="D9" s="604" t="inlineStr">
        <is>
          <t>Costo Unit.</t>
        </is>
      </c>
      <c r="E9" s="604" t="inlineStr">
        <is>
          <t>Cant.</t>
        </is>
      </c>
      <c r="F9" s="604" t="inlineStr">
        <is>
          <t>Inversión</t>
        </is>
      </c>
      <c r="G9" s="604" t="inlineStr">
        <is>
          <t>Plazo de amortización (en años)</t>
        </is>
      </c>
      <c r="H9" s="604" t="inlineStr">
        <is>
          <t>Valor Residual</t>
        </is>
      </c>
      <c r="I9" s="1001" t="n"/>
      <c r="J9" s="604" t="inlineStr">
        <is>
          <t>Costo Financiero</t>
        </is>
      </c>
      <c r="K9" s="605" t="inlineStr">
        <is>
          <t>AMORTIZACIÓN MENSUAL</t>
        </is>
      </c>
    </row>
    <row r="10" ht="15.6" customFormat="1" customHeight="1" s="26">
      <c r="B10" s="25" t="inlineStr">
        <is>
          <t>5.1</t>
        </is>
      </c>
      <c r="C10" s="1102" t="inlineStr">
        <is>
          <t>RODADOS Y EQUIPOS MOVILES ESPECIALES</t>
        </is>
      </c>
      <c r="D10" s="846" t="n"/>
      <c r="E10" s="847" t="n"/>
      <c r="F10" s="1103">
        <f>SUM(F11:F22)</f>
        <v/>
      </c>
      <c r="G10" s="356" t="n"/>
      <c r="H10" s="356" t="n"/>
      <c r="I10" s="1103">
        <f>SUM(I11:I22)</f>
        <v/>
      </c>
      <c r="J10" s="357" t="n">
        <v>0.02</v>
      </c>
      <c r="K10" s="1103">
        <f>SUM(K11:K22)*-1</f>
        <v/>
      </c>
    </row>
    <row r="11" ht="15" customHeight="1">
      <c r="B11" s="27" t="inlineStr">
        <is>
          <t>5.1.1</t>
        </is>
      </c>
      <c r="C11" s="1104" t="n"/>
      <c r="D11" s="1104" t="n">
        <v>0</v>
      </c>
      <c r="E11" s="360" t="n">
        <v>0</v>
      </c>
      <c r="F11" s="1105">
        <f>+D11*E11</f>
        <v/>
      </c>
      <c r="G11" s="360" t="n">
        <v>5</v>
      </c>
      <c r="H11" s="362" t="n">
        <v>0.5</v>
      </c>
      <c r="I11" s="1106">
        <f>+F11*H11</f>
        <v/>
      </c>
      <c r="J11" s="364">
        <f>+$J$10</f>
        <v/>
      </c>
      <c r="K11" s="1107">
        <f>PMT(J11,G11*12,F11-I11,0)-I11*J11</f>
        <v/>
      </c>
      <c r="N11" s="1108" t="n"/>
    </row>
    <row r="12" ht="15" customHeight="1">
      <c r="B12" s="27" t="inlineStr">
        <is>
          <t>5.1.2</t>
        </is>
      </c>
      <c r="C12" s="1104" t="n"/>
      <c r="D12" s="1104" t="n">
        <v>0</v>
      </c>
      <c r="E12" s="360" t="n">
        <v>0</v>
      </c>
      <c r="F12" s="1105">
        <f>+D12*E12</f>
        <v/>
      </c>
      <c r="G12" s="360" t="n">
        <v>5</v>
      </c>
      <c r="H12" s="362" t="n">
        <v>0.5</v>
      </c>
      <c r="I12" s="1106">
        <f>+F12*H12</f>
        <v/>
      </c>
      <c r="J12" s="364">
        <f>+$J$10</f>
        <v/>
      </c>
      <c r="K12" s="1107">
        <f>PMT(J12,G12*12,F12-I12,0)-I12*J12</f>
        <v/>
      </c>
      <c r="N12" s="1108" t="n"/>
    </row>
    <row r="13" ht="15" customHeight="1">
      <c r="B13" s="27" t="inlineStr">
        <is>
          <t>5.1.3</t>
        </is>
      </c>
      <c r="C13" s="1104" t="n"/>
      <c r="D13" s="1104" t="n">
        <v>0</v>
      </c>
      <c r="E13" s="360" t="n">
        <v>0</v>
      </c>
      <c r="F13" s="1105">
        <f>+D13*E13</f>
        <v/>
      </c>
      <c r="G13" s="360" t="n">
        <v>5</v>
      </c>
      <c r="H13" s="362" t="n">
        <v>0.5</v>
      </c>
      <c r="I13" s="1106">
        <f>+F13*H13</f>
        <v/>
      </c>
      <c r="J13" s="364">
        <f>+$J$10</f>
        <v/>
      </c>
      <c r="K13" s="1107">
        <f>PMT(J13,G13*12,F13-I13,0)-I13*J13</f>
        <v/>
      </c>
    </row>
    <row r="14" ht="15" customHeight="1">
      <c r="B14" s="27" t="inlineStr">
        <is>
          <t>5.1.4</t>
        </is>
      </c>
      <c r="C14" s="1104" t="n"/>
      <c r="D14" s="1104" t="n">
        <v>0</v>
      </c>
      <c r="E14" s="360" t="n">
        <v>0</v>
      </c>
      <c r="F14" s="1105">
        <f>+D14*E14</f>
        <v/>
      </c>
      <c r="G14" s="360" t="n">
        <v>5</v>
      </c>
      <c r="H14" s="362" t="n">
        <v>0.4</v>
      </c>
      <c r="I14" s="1106">
        <f>+F14*H14</f>
        <v/>
      </c>
      <c r="J14" s="364">
        <f>+$J$10</f>
        <v/>
      </c>
      <c r="K14" s="1107">
        <f>PMT(J14,G14*12,F14-I14,0)-I14*J14</f>
        <v/>
      </c>
    </row>
    <row r="15" ht="15" customHeight="1">
      <c r="B15" s="27" t="inlineStr">
        <is>
          <t>5.1.5</t>
        </is>
      </c>
      <c r="C15" s="1104" t="n"/>
      <c r="D15" s="1104" t="n">
        <v>0</v>
      </c>
      <c r="E15" s="360" t="n">
        <v>0</v>
      </c>
      <c r="F15" s="1105">
        <f>+D15*E15</f>
        <v/>
      </c>
      <c r="G15" s="360" t="n">
        <v>5</v>
      </c>
      <c r="H15" s="362" t="n">
        <v>0.4</v>
      </c>
      <c r="I15" s="1106">
        <f>+F15*H15</f>
        <v/>
      </c>
      <c r="J15" s="364">
        <f>+$J$10</f>
        <v/>
      </c>
      <c r="K15" s="1107">
        <f>PMT(J15,G15*12,F15-I15,0)-I15*J15</f>
        <v/>
      </c>
    </row>
    <row r="16" ht="15" customHeight="1">
      <c r="B16" s="27" t="inlineStr">
        <is>
          <t>5.1.6</t>
        </is>
      </c>
      <c r="C16" s="1104" t="n"/>
      <c r="D16" s="1104" t="n">
        <v>0</v>
      </c>
      <c r="E16" s="360" t="n">
        <v>0</v>
      </c>
      <c r="F16" s="1105">
        <f>+D16*E16</f>
        <v/>
      </c>
      <c r="G16" s="360" t="n">
        <v>5</v>
      </c>
      <c r="H16" s="362" t="n">
        <v>0.4</v>
      </c>
      <c r="I16" s="1106">
        <f>+F16*H16</f>
        <v/>
      </c>
      <c r="J16" s="364">
        <f>+$J$10</f>
        <v/>
      </c>
      <c r="K16" s="1107">
        <f>PMT(J16,G16*12,F16-I16,0)-I16*J16</f>
        <v/>
      </c>
    </row>
    <row r="17" ht="15" customHeight="1">
      <c r="B17" s="27" t="inlineStr">
        <is>
          <t>5.1.7</t>
        </is>
      </c>
      <c r="C17" s="358" t="n"/>
      <c r="D17" s="1104" t="n">
        <v>0</v>
      </c>
      <c r="E17" s="360" t="n">
        <v>0</v>
      </c>
      <c r="F17" s="1105">
        <f>+D17*E17</f>
        <v/>
      </c>
      <c r="G17" s="360" t="n">
        <v>3</v>
      </c>
      <c r="H17" s="362" t="n">
        <v>0.4</v>
      </c>
      <c r="I17" s="1106">
        <f>+F17*H17</f>
        <v/>
      </c>
      <c r="J17" s="364">
        <f>+$J$10</f>
        <v/>
      </c>
      <c r="K17" s="1107">
        <f>PMT(J17,G17*12,F17-I17,0)-I17*J17</f>
        <v/>
      </c>
    </row>
    <row r="18" ht="15" customHeight="1">
      <c r="B18" s="27" t="inlineStr">
        <is>
          <t>5.1.8</t>
        </is>
      </c>
      <c r="C18" s="358" t="n"/>
      <c r="D18" s="1104" t="n">
        <v>0</v>
      </c>
      <c r="E18" s="360" t="n">
        <v>0</v>
      </c>
      <c r="F18" s="1105">
        <f>+D18*E18</f>
        <v/>
      </c>
      <c r="G18" s="360" t="n">
        <v>3</v>
      </c>
      <c r="H18" s="362" t="n">
        <v>0</v>
      </c>
      <c r="I18" s="1106">
        <f>+F18*H18</f>
        <v/>
      </c>
      <c r="J18" s="364">
        <f>+$J$10</f>
        <v/>
      </c>
      <c r="K18" s="1107">
        <f>PMT(J18,G18*12,F18-I18,0)-I18*J18</f>
        <v/>
      </c>
    </row>
    <row r="19" ht="15" customHeight="1">
      <c r="B19" s="27" t="inlineStr">
        <is>
          <t>5.1.9</t>
        </is>
      </c>
      <c r="C19" s="358" t="n"/>
      <c r="D19" s="1104" t="n">
        <v>0</v>
      </c>
      <c r="E19" s="360" t="n">
        <v>0</v>
      </c>
      <c r="F19" s="1105">
        <f>+D19*E19</f>
        <v/>
      </c>
      <c r="G19" s="360" t="n">
        <v>3</v>
      </c>
      <c r="H19" s="362" t="n">
        <v>0</v>
      </c>
      <c r="I19" s="1106">
        <f>+F19*H19</f>
        <v/>
      </c>
      <c r="J19" s="364">
        <f>+$J$10</f>
        <v/>
      </c>
      <c r="K19" s="1107">
        <f>PMT(J19,G19*12,F19-I19,0)-I19*J19</f>
        <v/>
      </c>
    </row>
    <row r="20" ht="15" customHeight="1">
      <c r="B20" s="27" t="inlineStr">
        <is>
          <t>5.1.10</t>
        </is>
      </c>
      <c r="C20" s="358" t="n"/>
      <c r="D20" s="1104" t="n">
        <v>0</v>
      </c>
      <c r="E20" s="360" t="n">
        <v>0</v>
      </c>
      <c r="F20" s="1105">
        <f>+D20*E20</f>
        <v/>
      </c>
      <c r="G20" s="360" t="n">
        <v>3</v>
      </c>
      <c r="H20" s="362" t="n">
        <v>0.3</v>
      </c>
      <c r="I20" s="1106">
        <f>+F20*H20</f>
        <v/>
      </c>
      <c r="J20" s="364">
        <f>+$J$10</f>
        <v/>
      </c>
      <c r="K20" s="1107">
        <f>PMT(J20,G20*12,F20-I20,0)-I20*J20</f>
        <v/>
      </c>
    </row>
    <row r="21" ht="15" customHeight="1">
      <c r="B21" s="27" t="inlineStr">
        <is>
          <t>5.1.11</t>
        </is>
      </c>
      <c r="C21" s="358" t="n"/>
      <c r="D21" s="1104" t="n">
        <v>0</v>
      </c>
      <c r="E21" s="360" t="n">
        <v>0</v>
      </c>
      <c r="F21" s="1105">
        <f>+D21*E21</f>
        <v/>
      </c>
      <c r="G21" s="360" t="n">
        <v>3</v>
      </c>
      <c r="H21" s="362" t="n">
        <v>0</v>
      </c>
      <c r="I21" s="1106">
        <f>+F21*H21</f>
        <v/>
      </c>
      <c r="J21" s="364">
        <f>+$J$10</f>
        <v/>
      </c>
      <c r="K21" s="1107">
        <f>PMT(J21,G21*12,F21-I21,0)-I21*J21</f>
        <v/>
      </c>
    </row>
    <row r="22" ht="15" customHeight="1">
      <c r="B22" s="27" t="inlineStr">
        <is>
          <t>5.1.12</t>
        </is>
      </c>
      <c r="C22" s="358" t="n"/>
      <c r="D22" s="1104" t="n">
        <v>0</v>
      </c>
      <c r="E22" s="360" t="n">
        <v>0</v>
      </c>
      <c r="F22" s="1105">
        <f>+D22*E22</f>
        <v/>
      </c>
      <c r="G22" s="360" t="n">
        <v>3</v>
      </c>
      <c r="H22" s="362" t="n">
        <v>0</v>
      </c>
      <c r="I22" s="1106">
        <f>+F22*H22</f>
        <v/>
      </c>
      <c r="J22" s="364">
        <f>+$J$10</f>
        <v/>
      </c>
      <c r="K22" s="1107">
        <f>PMT(J22,G22*12,F22-I22,0)-I22*J22</f>
        <v/>
      </c>
    </row>
    <row r="23" ht="15.6" customFormat="1" customHeight="1" s="26">
      <c r="B23" s="25" t="inlineStr">
        <is>
          <t>5.2</t>
        </is>
      </c>
      <c r="C23" s="1102" t="inlineStr">
        <is>
          <t>MUEBLES Y ÚTILES</t>
        </is>
      </c>
      <c r="D23" s="846" t="n"/>
      <c r="E23" s="847" t="n"/>
      <c r="F23" s="1109">
        <f>SUM(F24:F35)</f>
        <v/>
      </c>
      <c r="G23" s="823" t="n"/>
      <c r="H23" s="823" t="n"/>
      <c r="I23" s="1103">
        <f>SUM(I24:I35)</f>
        <v/>
      </c>
      <c r="J23" s="367" t="n"/>
      <c r="K23" s="1103">
        <f>SUM(K24:K35)*-1</f>
        <v/>
      </c>
    </row>
    <row r="24" ht="15" customHeight="1">
      <c r="B24" s="27" t="inlineStr">
        <is>
          <t>5.2.1</t>
        </is>
      </c>
      <c r="C24" s="606" t="n"/>
      <c r="D24" s="1110" t="n">
        <v>0</v>
      </c>
      <c r="E24" s="360" t="n">
        <v>0</v>
      </c>
      <c r="F24" s="1105">
        <f>+D24*E24</f>
        <v/>
      </c>
      <c r="G24" s="360" t="n">
        <v>1</v>
      </c>
      <c r="H24" s="362" t="n">
        <v>0</v>
      </c>
      <c r="I24" s="1106">
        <f>+F24*H24</f>
        <v/>
      </c>
      <c r="J24" s="364">
        <f>+$J$10</f>
        <v/>
      </c>
      <c r="K24" s="1107">
        <f>PMT(J24,G24*12,F24-I24,0)-I24*J24</f>
        <v/>
      </c>
    </row>
    <row r="25" ht="15" customHeight="1">
      <c r="B25" s="27" t="inlineStr">
        <is>
          <t>5.2.2</t>
        </is>
      </c>
      <c r="C25" s="358" t="n"/>
      <c r="D25" s="1110" t="n">
        <v>0</v>
      </c>
      <c r="E25" s="360" t="n">
        <v>0</v>
      </c>
      <c r="F25" s="1105">
        <f>+D25*E25</f>
        <v/>
      </c>
      <c r="G25" s="360" t="n">
        <v>8</v>
      </c>
      <c r="H25" s="362" t="n">
        <v>0.8</v>
      </c>
      <c r="I25" s="1106">
        <f>+F25*H25</f>
        <v/>
      </c>
      <c r="J25" s="364">
        <f>+$J$10</f>
        <v/>
      </c>
      <c r="K25" s="1107">
        <f>PMT(J25,G25*12,F25-I25,0)-I25*J25</f>
        <v/>
      </c>
    </row>
    <row r="26" hidden="1" ht="15" customHeight="1">
      <c r="B26" s="27" t="inlineStr">
        <is>
          <t>5.2.3</t>
        </is>
      </c>
      <c r="C26" s="358" t="n"/>
      <c r="D26" s="1110" t="n">
        <v>0</v>
      </c>
      <c r="E26" s="360" t="n">
        <v>0</v>
      </c>
      <c r="F26" s="1105">
        <f>+D26*E26</f>
        <v/>
      </c>
      <c r="G26" s="360" t="n">
        <v>3</v>
      </c>
      <c r="H26" s="362" t="n">
        <v>0</v>
      </c>
      <c r="I26" s="1106">
        <f>+F26*H26</f>
        <v/>
      </c>
      <c r="J26" s="364">
        <f>+$J$10</f>
        <v/>
      </c>
      <c r="K26" s="1107">
        <f>PMT(J26,G26*12,F26-I26,0)-I26*J26</f>
        <v/>
      </c>
    </row>
    <row r="27" hidden="1" ht="15" customHeight="1">
      <c r="B27" s="27" t="inlineStr">
        <is>
          <t>5.2.4</t>
        </is>
      </c>
      <c r="C27" s="358" t="n"/>
      <c r="D27" s="1110" t="n">
        <v>0</v>
      </c>
      <c r="E27" s="360" t="n">
        <v>0</v>
      </c>
      <c r="F27" s="1105">
        <f>+D27*E27</f>
        <v/>
      </c>
      <c r="G27" s="360" t="n">
        <v>3</v>
      </c>
      <c r="H27" s="362" t="n">
        <v>0</v>
      </c>
      <c r="I27" s="1106">
        <f>+F27*H27</f>
        <v/>
      </c>
      <c r="J27" s="364">
        <f>+$J$10</f>
        <v/>
      </c>
      <c r="K27" s="1107">
        <f>PMT(J27,G27*12,F27-I27,0)-I27*J27</f>
        <v/>
      </c>
    </row>
    <row r="28" hidden="1" ht="15" customHeight="1">
      <c r="B28" s="27" t="inlineStr">
        <is>
          <t>5.2.5</t>
        </is>
      </c>
      <c r="C28" s="358" t="n"/>
      <c r="D28" s="1110" t="n">
        <v>0</v>
      </c>
      <c r="E28" s="360" t="n">
        <v>0</v>
      </c>
      <c r="F28" s="1105">
        <f>+D28*E28</f>
        <v/>
      </c>
      <c r="G28" s="360" t="n">
        <v>3</v>
      </c>
      <c r="H28" s="362" t="n">
        <v>0</v>
      </c>
      <c r="I28" s="1106">
        <f>+F28*H28</f>
        <v/>
      </c>
      <c r="J28" s="364">
        <f>+$J$10</f>
        <v/>
      </c>
      <c r="K28" s="1107">
        <f>PMT(J28,G28*12,F28-I28,0)-I28*J28</f>
        <v/>
      </c>
    </row>
    <row r="29" hidden="1" ht="15" customHeight="1">
      <c r="B29" s="27" t="inlineStr">
        <is>
          <t>5.2.6</t>
        </is>
      </c>
      <c r="C29" s="358" t="n"/>
      <c r="D29" s="1110" t="n">
        <v>0</v>
      </c>
      <c r="E29" s="360" t="n">
        <v>0</v>
      </c>
      <c r="F29" s="1105">
        <f>+D29*E29</f>
        <v/>
      </c>
      <c r="G29" s="360" t="n">
        <v>3</v>
      </c>
      <c r="H29" s="362" t="n">
        <v>0</v>
      </c>
      <c r="I29" s="1106">
        <f>+F29*H29</f>
        <v/>
      </c>
      <c r="J29" s="364">
        <f>+$J$10</f>
        <v/>
      </c>
      <c r="K29" s="1107">
        <f>PMT(J29,G29*12,F29-I29,0)-I29*J29</f>
        <v/>
      </c>
    </row>
    <row r="30" hidden="1" ht="15" customHeight="1">
      <c r="B30" s="27" t="inlineStr">
        <is>
          <t>5.2.7</t>
        </is>
      </c>
      <c r="C30" s="358" t="n"/>
      <c r="D30" s="1110" t="n">
        <v>0</v>
      </c>
      <c r="E30" s="360" t="n">
        <v>0</v>
      </c>
      <c r="F30" s="1105">
        <f>+D30*E30</f>
        <v/>
      </c>
      <c r="G30" s="360" t="n">
        <v>3</v>
      </c>
      <c r="H30" s="362" t="n">
        <v>0</v>
      </c>
      <c r="I30" s="1106">
        <f>+F30*H30</f>
        <v/>
      </c>
      <c r="J30" s="364">
        <f>+$J$10</f>
        <v/>
      </c>
      <c r="K30" s="1107">
        <f>PMT(J30,G30*12,F30-I30,0)-I30*J30</f>
        <v/>
      </c>
    </row>
    <row r="31" hidden="1" ht="15" customHeight="1">
      <c r="B31" s="27" t="inlineStr">
        <is>
          <t>5.2.8</t>
        </is>
      </c>
      <c r="C31" s="358" t="n"/>
      <c r="D31" s="1110" t="n">
        <v>0</v>
      </c>
      <c r="E31" s="360" t="n">
        <v>0</v>
      </c>
      <c r="F31" s="1105">
        <f>+D31*E31</f>
        <v/>
      </c>
      <c r="G31" s="360" t="n">
        <v>3</v>
      </c>
      <c r="H31" s="362" t="n">
        <v>0</v>
      </c>
      <c r="I31" s="1106">
        <f>+F31*H31</f>
        <v/>
      </c>
      <c r="J31" s="364">
        <f>+$J$10</f>
        <v/>
      </c>
      <c r="K31" s="1107">
        <f>PMT(J31,G31*12,F31-I31,0)-I31*J31</f>
        <v/>
      </c>
    </row>
    <row r="32" hidden="1" ht="15" customHeight="1">
      <c r="B32" s="27" t="inlineStr">
        <is>
          <t>5.2.9</t>
        </is>
      </c>
      <c r="C32" s="358" t="n"/>
      <c r="D32" s="1110" t="n">
        <v>0</v>
      </c>
      <c r="E32" s="360" t="n">
        <v>0</v>
      </c>
      <c r="F32" s="1105">
        <f>+D32*E32</f>
        <v/>
      </c>
      <c r="G32" s="360" t="n">
        <v>3</v>
      </c>
      <c r="H32" s="362" t="n">
        <v>0</v>
      </c>
      <c r="I32" s="1106">
        <f>+F32*H32</f>
        <v/>
      </c>
      <c r="J32" s="364">
        <f>+$J$10</f>
        <v/>
      </c>
      <c r="K32" s="1107">
        <f>PMT(J32,G32*12,F32-I32,0)-I32*J32</f>
        <v/>
      </c>
    </row>
    <row r="33" hidden="1" ht="15" customHeight="1">
      <c r="B33" s="27" t="inlineStr">
        <is>
          <t>5.2.10</t>
        </is>
      </c>
      <c r="C33" s="358" t="n"/>
      <c r="D33" s="1110" t="n">
        <v>0</v>
      </c>
      <c r="E33" s="360" t="n">
        <v>0</v>
      </c>
      <c r="F33" s="1105">
        <f>+D33*E33</f>
        <v/>
      </c>
      <c r="G33" s="360" t="n">
        <v>3</v>
      </c>
      <c r="H33" s="362" t="n">
        <v>0</v>
      </c>
      <c r="I33" s="1106">
        <f>+F33*H33</f>
        <v/>
      </c>
      <c r="J33" s="364">
        <f>+$J$10</f>
        <v/>
      </c>
      <c r="K33" s="1107">
        <f>PMT(J33,G33*12,F33-I33,0)-I33*J33</f>
        <v/>
      </c>
    </row>
    <row r="34" hidden="1" ht="15" customHeight="1">
      <c r="B34" s="27" t="inlineStr">
        <is>
          <t>5.2.11</t>
        </is>
      </c>
      <c r="C34" s="358" t="n"/>
      <c r="D34" s="1110" t="n">
        <v>0</v>
      </c>
      <c r="E34" s="360" t="n">
        <v>0</v>
      </c>
      <c r="F34" s="1105">
        <f>+D34*E34</f>
        <v/>
      </c>
      <c r="G34" s="360" t="n">
        <v>3</v>
      </c>
      <c r="H34" s="362" t="n">
        <v>0</v>
      </c>
      <c r="I34" s="1106">
        <f>+F34*H34</f>
        <v/>
      </c>
      <c r="J34" s="364">
        <f>+$J$10</f>
        <v/>
      </c>
      <c r="K34" s="1107">
        <f>PMT(J34,G34*12,F34-I34,0)-I34*J34</f>
        <v/>
      </c>
    </row>
    <row r="35" hidden="1" ht="15" customHeight="1">
      <c r="B35" s="27" t="inlineStr">
        <is>
          <t>5.2.12</t>
        </is>
      </c>
      <c r="C35" s="358" t="n"/>
      <c r="D35" s="1110" t="n">
        <v>0</v>
      </c>
      <c r="E35" s="360" t="n">
        <v>0</v>
      </c>
      <c r="F35" s="1105">
        <f>+D35*E35</f>
        <v/>
      </c>
      <c r="G35" s="360" t="n">
        <v>3</v>
      </c>
      <c r="H35" s="362" t="n">
        <v>0</v>
      </c>
      <c r="I35" s="1106">
        <f>+F35*H35</f>
        <v/>
      </c>
      <c r="J35" s="364">
        <f>+$J$10</f>
        <v/>
      </c>
      <c r="K35" s="1107">
        <f>PMT(J35,G35*12,F35-I35,0)-I35*J35</f>
        <v/>
      </c>
    </row>
    <row r="36" ht="15.6" customFormat="1" customHeight="1" s="26">
      <c r="B36" s="25" t="inlineStr">
        <is>
          <t>5.3</t>
        </is>
      </c>
      <c r="C36" s="1102" t="inlineStr">
        <is>
          <t>INSTALACIÓNES Y ADECUACIÓN DE LOCALES</t>
        </is>
      </c>
      <c r="D36" s="846" t="n"/>
      <c r="E36" s="847" t="n"/>
      <c r="F36" s="1103">
        <f>SUM(F37:F48)</f>
        <v/>
      </c>
      <c r="G36" s="356" t="n"/>
      <c r="H36" s="356" t="n"/>
      <c r="I36" s="1103">
        <f>SUM(I37:I48)</f>
        <v/>
      </c>
      <c r="J36" s="367" t="n"/>
      <c r="K36" s="1103">
        <f>SUM(K37:K48)*-1</f>
        <v/>
      </c>
    </row>
    <row r="37" ht="15" customHeight="1">
      <c r="B37" s="27" t="inlineStr">
        <is>
          <t>5.3.1</t>
        </is>
      </c>
      <c r="C37" s="606" t="n"/>
      <c r="D37" s="1110" t="n">
        <v>0</v>
      </c>
      <c r="E37" s="360" t="n">
        <v>0</v>
      </c>
      <c r="F37" s="1105">
        <f>+D37*E37</f>
        <v/>
      </c>
      <c r="G37" s="360" t="n">
        <v>8</v>
      </c>
      <c r="H37" s="362" t="n">
        <v>0.5</v>
      </c>
      <c r="I37" s="1106">
        <f>+F37*H37</f>
        <v/>
      </c>
      <c r="J37" s="364">
        <f>+$J$10</f>
        <v/>
      </c>
      <c r="K37" s="1107">
        <f>PMT(J37,G37*12,F37-I37,0)-I37*J37</f>
        <v/>
      </c>
    </row>
    <row r="38" ht="15" customHeight="1">
      <c r="B38" s="27" t="inlineStr">
        <is>
          <t>5.3.2</t>
        </is>
      </c>
      <c r="C38" s="606" t="n"/>
      <c r="D38" s="1110" t="n">
        <v>0</v>
      </c>
      <c r="E38" s="360" t="n">
        <v>0</v>
      </c>
      <c r="F38" s="1105">
        <f>+D38*E38</f>
        <v/>
      </c>
      <c r="G38" s="360" t="n">
        <v>8</v>
      </c>
      <c r="H38" s="362" t="n">
        <v>0.5</v>
      </c>
      <c r="I38" s="1106">
        <f>+F38*H38</f>
        <v/>
      </c>
      <c r="J38" s="364">
        <f>+$J$10</f>
        <v/>
      </c>
      <c r="K38" s="1107">
        <f>PMT(J38,G38*12,F38-I38,0)-I38*J38</f>
        <v/>
      </c>
    </row>
    <row r="39" ht="15" customHeight="1">
      <c r="B39" s="27" t="inlineStr">
        <is>
          <t>5.3.3</t>
        </is>
      </c>
      <c r="C39" s="606" t="n"/>
      <c r="D39" s="1110" t="n">
        <v>0</v>
      </c>
      <c r="E39" s="360" t="n">
        <v>0</v>
      </c>
      <c r="F39" s="1105">
        <f>+D39*E39</f>
        <v/>
      </c>
      <c r="G39" s="360" t="n">
        <v>5</v>
      </c>
      <c r="H39" s="362" t="n">
        <v>0</v>
      </c>
      <c r="I39" s="1106">
        <f>+F39*H39</f>
        <v/>
      </c>
      <c r="J39" s="364">
        <f>+$J$10</f>
        <v/>
      </c>
      <c r="K39" s="1107">
        <f>PMT(J39,G39*12,F39-I39,0)-I39*J39</f>
        <v/>
      </c>
    </row>
    <row r="40" ht="15" customHeight="1">
      <c r="B40" s="27" t="inlineStr">
        <is>
          <t>5.3.4</t>
        </is>
      </c>
      <c r="C40" s="606" t="n"/>
      <c r="D40" s="1110" t="n">
        <v>0</v>
      </c>
      <c r="E40" s="360" t="n">
        <v>0</v>
      </c>
      <c r="F40" s="1105">
        <f>+D40*E40</f>
        <v/>
      </c>
      <c r="G40" s="360" t="n">
        <v>5</v>
      </c>
      <c r="H40" s="362" t="n">
        <v>0</v>
      </c>
      <c r="I40" s="1106">
        <f>+F40*H40</f>
        <v/>
      </c>
      <c r="J40" s="364">
        <f>+$J$10</f>
        <v/>
      </c>
      <c r="K40" s="1107">
        <f>PMT(J40,G40*12,F40-I40,0)-I40*J40</f>
        <v/>
      </c>
    </row>
    <row r="41" ht="15" customHeight="1">
      <c r="B41" s="27" t="inlineStr">
        <is>
          <t>5.3.5</t>
        </is>
      </c>
      <c r="C41" s="358" t="n"/>
      <c r="D41" s="1110" t="n">
        <v>0</v>
      </c>
      <c r="E41" s="360" t="n">
        <v>0</v>
      </c>
      <c r="F41" s="1105">
        <f>+D41*E41</f>
        <v/>
      </c>
      <c r="G41" s="360" t="n">
        <v>3</v>
      </c>
      <c r="H41" s="362" t="n">
        <v>0</v>
      </c>
      <c r="I41" s="1106">
        <f>+F41*H41</f>
        <v/>
      </c>
      <c r="J41" s="364">
        <f>+$J$10</f>
        <v/>
      </c>
      <c r="K41" s="1107">
        <f>PMT(J41,G41*12,F41-I41,0)-I41*J41</f>
        <v/>
      </c>
    </row>
    <row r="42" ht="15" customHeight="1">
      <c r="B42" s="27" t="inlineStr">
        <is>
          <t>5.3.6</t>
        </is>
      </c>
      <c r="C42" s="358" t="n"/>
      <c r="D42" s="1110" t="n">
        <v>0</v>
      </c>
      <c r="E42" s="360" t="n">
        <v>0</v>
      </c>
      <c r="F42" s="1105">
        <f>+D42*E42</f>
        <v/>
      </c>
      <c r="G42" s="360" t="n">
        <v>3</v>
      </c>
      <c r="H42" s="362" t="n">
        <v>0</v>
      </c>
      <c r="I42" s="1106">
        <f>+F42*H42</f>
        <v/>
      </c>
      <c r="J42" s="364">
        <f>+$J$10</f>
        <v/>
      </c>
      <c r="K42" s="1107">
        <f>PMT(J42,G42*12,F42-I42,0)-I42*J42</f>
        <v/>
      </c>
    </row>
    <row r="43" ht="15" customHeight="1">
      <c r="B43" s="27" t="inlineStr">
        <is>
          <t>5.3.7</t>
        </is>
      </c>
      <c r="C43" s="358" t="n"/>
      <c r="D43" s="1110" t="n">
        <v>0</v>
      </c>
      <c r="E43" s="360" t="n">
        <v>0</v>
      </c>
      <c r="F43" s="1105">
        <f>+D43*E43</f>
        <v/>
      </c>
      <c r="G43" s="360" t="n">
        <v>3</v>
      </c>
      <c r="H43" s="362" t="n">
        <v>0</v>
      </c>
      <c r="I43" s="1106">
        <f>+F43*H43</f>
        <v/>
      </c>
      <c r="J43" s="364">
        <f>+$J$10</f>
        <v/>
      </c>
      <c r="K43" s="1107">
        <f>PMT(J43,G43*12,F43-I43,0)-I43*J43</f>
        <v/>
      </c>
    </row>
    <row r="44" ht="15" customHeight="1">
      <c r="B44" s="27" t="inlineStr">
        <is>
          <t>5.3.8</t>
        </is>
      </c>
      <c r="C44" s="358" t="n"/>
      <c r="D44" s="1110" t="n">
        <v>0</v>
      </c>
      <c r="E44" s="360" t="n">
        <v>0</v>
      </c>
      <c r="F44" s="1105">
        <f>+D44*E44</f>
        <v/>
      </c>
      <c r="G44" s="360" t="n">
        <v>3</v>
      </c>
      <c r="H44" s="362" t="n">
        <v>0</v>
      </c>
      <c r="I44" s="1106">
        <f>+F44*H44</f>
        <v/>
      </c>
      <c r="J44" s="364">
        <f>+$J$10</f>
        <v/>
      </c>
      <c r="K44" s="1107">
        <f>PMT(J44,G44*12,F44-I44,0)-I44*J44</f>
        <v/>
      </c>
    </row>
    <row r="45" ht="15" customHeight="1">
      <c r="B45" s="27" t="inlineStr">
        <is>
          <t>5.3.9</t>
        </is>
      </c>
      <c r="C45" s="358" t="n"/>
      <c r="D45" s="1110" t="n">
        <v>0</v>
      </c>
      <c r="E45" s="360" t="n">
        <v>0</v>
      </c>
      <c r="F45" s="1105">
        <f>+D45*E45</f>
        <v/>
      </c>
      <c r="G45" s="360" t="n">
        <v>3</v>
      </c>
      <c r="H45" s="362" t="n">
        <v>0</v>
      </c>
      <c r="I45" s="1106">
        <f>+F45*H45</f>
        <v/>
      </c>
      <c r="J45" s="364">
        <f>+$J$10</f>
        <v/>
      </c>
      <c r="K45" s="1107">
        <f>PMT(J45,G45*12,F45-I45,0)-I45*J45</f>
        <v/>
      </c>
    </row>
    <row r="46" ht="15" customHeight="1">
      <c r="B46" s="27" t="inlineStr">
        <is>
          <t>5.3.10</t>
        </is>
      </c>
      <c r="C46" s="358" t="n"/>
      <c r="D46" s="1110" t="n">
        <v>0</v>
      </c>
      <c r="E46" s="360" t="n">
        <v>0</v>
      </c>
      <c r="F46" s="1105">
        <f>+D46*E46</f>
        <v/>
      </c>
      <c r="G46" s="360" t="n">
        <v>3</v>
      </c>
      <c r="H46" s="362" t="n">
        <v>0</v>
      </c>
      <c r="I46" s="1106">
        <f>+F46*H46</f>
        <v/>
      </c>
      <c r="J46" s="364">
        <f>+$J$10</f>
        <v/>
      </c>
      <c r="K46" s="1107">
        <f>PMT(J46,G46*12,F46-I46,0)-I46*J46</f>
        <v/>
      </c>
    </row>
    <row r="47" ht="15" customHeight="1">
      <c r="B47" s="27" t="inlineStr">
        <is>
          <t>5.3.11</t>
        </is>
      </c>
      <c r="C47" s="358" t="n"/>
      <c r="D47" s="1110" t="n">
        <v>0</v>
      </c>
      <c r="E47" s="360" t="n">
        <v>0</v>
      </c>
      <c r="F47" s="1105">
        <f>+D47*E47</f>
        <v/>
      </c>
      <c r="G47" s="360" t="n">
        <v>3</v>
      </c>
      <c r="H47" s="362" t="n">
        <v>0</v>
      </c>
      <c r="I47" s="1106">
        <f>+F47*H47</f>
        <v/>
      </c>
      <c r="J47" s="364">
        <f>+$J$10</f>
        <v/>
      </c>
      <c r="K47" s="1107">
        <f>PMT(J47,G47*12,F47-I47,0)-I47*J47</f>
        <v/>
      </c>
    </row>
    <row r="48" ht="15" customHeight="1">
      <c r="B48" s="27" t="inlineStr">
        <is>
          <t>5.3.12</t>
        </is>
      </c>
      <c r="C48" s="358" t="n"/>
      <c r="D48" s="1110" t="n">
        <v>0</v>
      </c>
      <c r="E48" s="360" t="n">
        <v>0</v>
      </c>
      <c r="F48" s="1105">
        <f>+D48*E48</f>
        <v/>
      </c>
      <c r="G48" s="360" t="n">
        <v>3</v>
      </c>
      <c r="H48" s="362" t="n">
        <v>0</v>
      </c>
      <c r="I48" s="1106">
        <f>+F48*H48</f>
        <v/>
      </c>
      <c r="J48" s="364">
        <f>+$J$10</f>
        <v/>
      </c>
      <c r="K48" s="1107">
        <f>PMT(J48,G48*12,F48-I48,0)-I48*J48</f>
        <v/>
      </c>
    </row>
    <row r="49" ht="15.6" customFormat="1" customHeight="1" s="26">
      <c r="B49" s="25" t="inlineStr">
        <is>
          <t>5.4</t>
        </is>
      </c>
      <c r="C49" s="1102" t="inlineStr">
        <is>
          <t>MEDIOS INFORMÁTICOS Y MEDIOS DE COMUNICACIÓN</t>
        </is>
      </c>
      <c r="D49" s="846" t="n"/>
      <c r="E49" s="847" t="n"/>
      <c r="F49" s="1103">
        <f>SUM(F50:F61)</f>
        <v/>
      </c>
      <c r="G49" s="356" t="n"/>
      <c r="H49" s="356" t="n"/>
      <c r="I49" s="1103">
        <f>SUM(I50:I61)</f>
        <v/>
      </c>
      <c r="J49" s="367" t="n"/>
      <c r="K49" s="1103">
        <f>SUM(K50:K61)*-1</f>
        <v/>
      </c>
    </row>
    <row r="50" ht="15" customHeight="1">
      <c r="B50" s="27" t="inlineStr">
        <is>
          <t>5.4.1</t>
        </is>
      </c>
      <c r="C50" s="358" t="n"/>
      <c r="D50" s="1110" t="n">
        <v>0</v>
      </c>
      <c r="E50" s="360" t="n">
        <v>0</v>
      </c>
      <c r="F50" s="1105">
        <f>+D50*E50</f>
        <v/>
      </c>
      <c r="G50" s="360" t="n">
        <v>3</v>
      </c>
      <c r="H50" s="362" t="n">
        <v>0</v>
      </c>
      <c r="I50" s="1106">
        <f>+F50*H50</f>
        <v/>
      </c>
      <c r="J50" s="364">
        <f>+$J$10</f>
        <v/>
      </c>
      <c r="K50" s="1107">
        <f>PMT(J50,G50*12,F50-I50,0)-I50*J50</f>
        <v/>
      </c>
      <c r="M50" s="1111" t="n"/>
    </row>
    <row r="51" ht="15" customHeight="1">
      <c r="B51" s="27" t="inlineStr">
        <is>
          <t>5.4.2</t>
        </is>
      </c>
      <c r="C51" s="358" t="n"/>
      <c r="D51" s="1110" t="n">
        <v>0</v>
      </c>
      <c r="E51" s="360" t="n">
        <v>0</v>
      </c>
      <c r="F51" s="1105">
        <f>+D51*E51</f>
        <v/>
      </c>
      <c r="G51" s="360" t="n">
        <v>3</v>
      </c>
      <c r="H51" s="362" t="n">
        <v>0</v>
      </c>
      <c r="I51" s="1106">
        <f>+F51*H51</f>
        <v/>
      </c>
      <c r="J51" s="364">
        <f>+$J$10</f>
        <v/>
      </c>
      <c r="K51" s="1107">
        <f>PMT(J51,G51*12,F51-I51,0)-I51*J51</f>
        <v/>
      </c>
      <c r="M51" s="1111" t="n"/>
      <c r="O51" s="1112" t="n"/>
    </row>
    <row r="52" ht="15" customHeight="1">
      <c r="B52" s="27" t="inlineStr">
        <is>
          <t>5.4.3</t>
        </is>
      </c>
      <c r="C52" s="358" t="n"/>
      <c r="D52" s="1110" t="n">
        <v>0</v>
      </c>
      <c r="E52" s="360" t="n">
        <v>0</v>
      </c>
      <c r="F52" s="1105">
        <f>+D52*E52</f>
        <v/>
      </c>
      <c r="G52" s="360" t="n">
        <v>1</v>
      </c>
      <c r="H52" s="362" t="n">
        <v>0</v>
      </c>
      <c r="I52" s="1106">
        <f>+F52*H52</f>
        <v/>
      </c>
      <c r="J52" s="364">
        <f>+$J$10</f>
        <v/>
      </c>
      <c r="K52" s="1107">
        <f>PMT(J52,G52*12,F52-I52,0)-I52*J52</f>
        <v/>
      </c>
      <c r="M52" s="1111" t="n"/>
    </row>
    <row r="53" ht="15" customHeight="1">
      <c r="B53" s="27" t="inlineStr">
        <is>
          <t>5.4.4</t>
        </is>
      </c>
      <c r="C53" s="358" t="n"/>
      <c r="D53" s="1110" t="n">
        <v>0</v>
      </c>
      <c r="E53" s="360" t="n">
        <v>0</v>
      </c>
      <c r="F53" s="1105">
        <f>+D53*E53</f>
        <v/>
      </c>
      <c r="G53" s="360" t="n">
        <v>1</v>
      </c>
      <c r="H53" s="362" t="n">
        <v>0</v>
      </c>
      <c r="I53" s="1106">
        <f>+F53*H53</f>
        <v/>
      </c>
      <c r="J53" s="364">
        <f>+$J$10</f>
        <v/>
      </c>
      <c r="K53" s="1107">
        <f>PMT(J53,G53*12,F53-I53,0)-I53*J53</f>
        <v/>
      </c>
      <c r="M53" s="1111" t="n"/>
    </row>
    <row r="54" ht="15" customHeight="1">
      <c r="B54" s="27" t="inlineStr">
        <is>
          <t>5.4.5</t>
        </is>
      </c>
      <c r="C54" s="358" t="n"/>
      <c r="D54" s="1110" t="n">
        <v>0</v>
      </c>
      <c r="E54" s="360" t="n">
        <v>0</v>
      </c>
      <c r="F54" s="1105">
        <f>+D54*E54</f>
        <v/>
      </c>
      <c r="G54" s="360" t="n">
        <v>1</v>
      </c>
      <c r="H54" s="362" t="n">
        <v>0</v>
      </c>
      <c r="I54" s="1106">
        <f>+F54*H54</f>
        <v/>
      </c>
      <c r="J54" s="364">
        <f>+$J$10</f>
        <v/>
      </c>
      <c r="K54" s="1107">
        <f>PMT(J54,G54*12,F54-I54,0)-I54*J54</f>
        <v/>
      </c>
      <c r="M54" s="1111" t="n"/>
    </row>
    <row r="55" ht="15.6" customHeight="1">
      <c r="B55" s="27" t="inlineStr">
        <is>
          <t>5.4.6</t>
        </is>
      </c>
      <c r="C55" s="358" t="n"/>
      <c r="D55" s="1110" t="n">
        <v>0</v>
      </c>
      <c r="E55" s="360" t="n">
        <v>0</v>
      </c>
      <c r="F55" s="1105">
        <f>+D55*E55</f>
        <v/>
      </c>
      <c r="G55" s="360" t="n">
        <v>1</v>
      </c>
      <c r="H55" s="362" t="n">
        <v>0</v>
      </c>
      <c r="I55" s="1106">
        <f>+F55*H55</f>
        <v/>
      </c>
      <c r="J55" s="364">
        <f>+$J$10</f>
        <v/>
      </c>
      <c r="K55" s="1107">
        <f>PMT(J55,G55*12,F55-I55,0)-I55*J55</f>
        <v/>
      </c>
      <c r="M55" s="1113" t="n"/>
    </row>
    <row r="56" ht="15" customHeight="1">
      <c r="B56" s="27" t="inlineStr">
        <is>
          <t>5.4.7</t>
        </is>
      </c>
      <c r="C56" s="358" t="n"/>
      <c r="D56" s="1110" t="n">
        <v>0</v>
      </c>
      <c r="E56" s="360" t="n">
        <v>0</v>
      </c>
      <c r="F56" s="1105">
        <f>+D56*E56</f>
        <v/>
      </c>
      <c r="G56" s="360" t="n">
        <v>1</v>
      </c>
      <c r="H56" s="362" t="n">
        <v>0</v>
      </c>
      <c r="I56" s="1106">
        <f>+F56*H56</f>
        <v/>
      </c>
      <c r="J56" s="364">
        <f>+$J$10</f>
        <v/>
      </c>
      <c r="K56" s="1107">
        <f>PMT(J56,G56*12,F56-I56,0)-I56*J56</f>
        <v/>
      </c>
    </row>
    <row r="57" ht="15" customHeight="1">
      <c r="B57" s="27" t="inlineStr">
        <is>
          <t>5.4.8</t>
        </is>
      </c>
      <c r="C57" s="358" t="n"/>
      <c r="D57" s="1110" t="n">
        <v>0</v>
      </c>
      <c r="E57" s="360" t="n">
        <v>0</v>
      </c>
      <c r="F57" s="1105">
        <f>+D57*E57</f>
        <v/>
      </c>
      <c r="G57" s="360" t="n">
        <v>1</v>
      </c>
      <c r="H57" s="362" t="n">
        <v>0</v>
      </c>
      <c r="I57" s="1106">
        <f>+F57*H57</f>
        <v/>
      </c>
      <c r="J57" s="364">
        <f>+$J$10</f>
        <v/>
      </c>
      <c r="K57" s="1107">
        <f>PMT(J57,G57*12,F57-I57,0)-I57*J57</f>
        <v/>
      </c>
    </row>
    <row r="58" ht="15" customHeight="1">
      <c r="B58" s="27" t="inlineStr">
        <is>
          <t>5.4.9</t>
        </is>
      </c>
      <c r="C58" s="358" t="n"/>
      <c r="D58" s="1110" t="n">
        <v>0</v>
      </c>
      <c r="E58" s="360" t="n">
        <v>0</v>
      </c>
      <c r="F58" s="1105">
        <f>+D58*E58</f>
        <v/>
      </c>
      <c r="G58" s="360" t="n">
        <v>1</v>
      </c>
      <c r="H58" s="362" t="n">
        <v>0</v>
      </c>
      <c r="I58" s="1106">
        <f>+F58*H58</f>
        <v/>
      </c>
      <c r="J58" s="364">
        <f>+$J$10</f>
        <v/>
      </c>
      <c r="K58" s="1107">
        <f>PMT(J58,G58*12,F58-I58,0)-I58*J58</f>
        <v/>
      </c>
    </row>
    <row r="59" ht="15" customHeight="1">
      <c r="B59" s="27" t="inlineStr">
        <is>
          <t>5.4.10</t>
        </is>
      </c>
      <c r="C59" s="358" t="n"/>
      <c r="D59" s="1110" t="n">
        <v>0</v>
      </c>
      <c r="E59" s="360" t="n">
        <v>0</v>
      </c>
      <c r="F59" s="1105">
        <f>+D59*E59</f>
        <v/>
      </c>
      <c r="G59" s="360" t="n">
        <v>1</v>
      </c>
      <c r="H59" s="362" t="n">
        <v>0</v>
      </c>
      <c r="I59" s="1106">
        <f>+F59*H59</f>
        <v/>
      </c>
      <c r="J59" s="364">
        <f>+$J$10</f>
        <v/>
      </c>
      <c r="K59" s="1107">
        <f>PMT(J59,G59*12,F59-I59,0)-I59*J59</f>
        <v/>
      </c>
    </row>
    <row r="60" ht="15" customHeight="1">
      <c r="B60" s="27" t="inlineStr">
        <is>
          <t>5.4.11</t>
        </is>
      </c>
      <c r="C60" s="358" t="n"/>
      <c r="D60" s="1110" t="n">
        <v>0</v>
      </c>
      <c r="E60" s="360" t="n">
        <v>0</v>
      </c>
      <c r="F60" s="1105">
        <f>+D60*E60</f>
        <v/>
      </c>
      <c r="G60" s="360" t="n">
        <v>1</v>
      </c>
      <c r="H60" s="362" t="n">
        <v>0</v>
      </c>
      <c r="I60" s="1106">
        <f>+F60*H60</f>
        <v/>
      </c>
      <c r="J60" s="364">
        <f>+$J$10</f>
        <v/>
      </c>
      <c r="K60" s="1107">
        <f>PMT(J60,G60*12,F60-I60,0)-I60*J60</f>
        <v/>
      </c>
    </row>
    <row r="61" ht="15" customHeight="1">
      <c r="B61" s="27" t="inlineStr">
        <is>
          <t>5.4.12</t>
        </is>
      </c>
      <c r="C61" s="358" t="n"/>
      <c r="D61" s="1110" t="n">
        <v>0</v>
      </c>
      <c r="E61" s="360" t="n">
        <v>0</v>
      </c>
      <c r="F61" s="1105">
        <f>+D61*E61</f>
        <v/>
      </c>
      <c r="G61" s="360" t="n">
        <v>1</v>
      </c>
      <c r="H61" s="362" t="n">
        <v>0</v>
      </c>
      <c r="I61" s="1106">
        <f>+F61*H61</f>
        <v/>
      </c>
      <c r="J61" s="364">
        <f>+$J$10</f>
        <v/>
      </c>
      <c r="K61" s="1107">
        <f>PMT(J61,G61*12,F61-I61,0)-I61*J61</f>
        <v/>
      </c>
    </row>
    <row r="62" ht="15.6" customFormat="1" customHeight="1" s="26">
      <c r="B62" s="25" t="inlineStr">
        <is>
          <t>5.5</t>
        </is>
      </c>
      <c r="C62" s="1102" t="inlineStr">
        <is>
          <t>MÁQUINAS Y HERRAMIENTAS</t>
        </is>
      </c>
      <c r="D62" s="846" t="n"/>
      <c r="E62" s="847" t="n"/>
      <c r="F62" s="1103">
        <f>SUM(F63:F74)</f>
        <v/>
      </c>
      <c r="G62" s="356" t="n"/>
      <c r="H62" s="356" t="n"/>
      <c r="I62" s="1103">
        <f>SUM(I63:I74)</f>
        <v/>
      </c>
      <c r="J62" s="367" t="n"/>
      <c r="K62" s="1103">
        <f>SUM(K63:K74)*-1</f>
        <v/>
      </c>
    </row>
    <row r="63" ht="15" customHeight="1">
      <c r="B63" s="27" t="inlineStr">
        <is>
          <t>5.5.1</t>
        </is>
      </c>
      <c r="C63" s="358" t="n"/>
      <c r="D63" s="1110" t="n">
        <v>0</v>
      </c>
      <c r="E63" s="369" t="n">
        <v>0</v>
      </c>
      <c r="F63" s="1105">
        <f>+D63*E63</f>
        <v/>
      </c>
      <c r="G63" s="360" t="n">
        <v>2</v>
      </c>
      <c r="H63" s="362" t="n">
        <v>0</v>
      </c>
      <c r="I63" s="1106">
        <f>+F63*H63</f>
        <v/>
      </c>
      <c r="J63" s="364">
        <f>+$J$10</f>
        <v/>
      </c>
      <c r="K63" s="1107">
        <f>PMT(J63,G63*12,F63-I63,0)-I63*J63</f>
        <v/>
      </c>
    </row>
    <row r="64" ht="15" customHeight="1">
      <c r="B64" s="27" t="inlineStr">
        <is>
          <t>5.5.2</t>
        </is>
      </c>
      <c r="C64" s="358" t="n"/>
      <c r="D64" s="1110" t="n">
        <v>0</v>
      </c>
      <c r="E64" s="360" t="n">
        <v>0</v>
      </c>
      <c r="F64" s="1105">
        <f>+D64*E64</f>
        <v/>
      </c>
      <c r="G64" s="360" t="n">
        <v>3</v>
      </c>
      <c r="H64" s="362" t="n">
        <v>0.5</v>
      </c>
      <c r="I64" s="1106">
        <f>+F64*H64</f>
        <v/>
      </c>
      <c r="J64" s="364">
        <f>+$J$10</f>
        <v/>
      </c>
      <c r="K64" s="1107">
        <f>PMT(J64,G64*12,F64-I64,0)-I64*J64</f>
        <v/>
      </c>
    </row>
    <row r="65" ht="15" customHeight="1">
      <c r="B65" s="27" t="inlineStr">
        <is>
          <t>5.5.3</t>
        </is>
      </c>
      <c r="C65" s="606" t="n"/>
      <c r="D65" s="1110" t="n">
        <v>0</v>
      </c>
      <c r="E65" s="360" t="n">
        <v>0</v>
      </c>
      <c r="F65" s="1105">
        <f>+D65*E65</f>
        <v/>
      </c>
      <c r="G65" s="360" t="n">
        <v>5</v>
      </c>
      <c r="H65" s="362" t="n">
        <v>0.4</v>
      </c>
      <c r="I65" s="1106">
        <f>+F65*H65</f>
        <v/>
      </c>
      <c r="J65" s="364">
        <f>+$J$10</f>
        <v/>
      </c>
      <c r="K65" s="1107">
        <f>PMT(J65,G65*12,F65-I65,0)-I65*J65</f>
        <v/>
      </c>
    </row>
    <row r="66" hidden="1" ht="15" customHeight="1">
      <c r="B66" s="27" t="inlineStr">
        <is>
          <t>5.5.4</t>
        </is>
      </c>
      <c r="C66" s="358" t="n"/>
      <c r="D66" s="1110" t="n">
        <v>0</v>
      </c>
      <c r="E66" s="360" t="n">
        <v>0</v>
      </c>
      <c r="F66" s="1105">
        <f>+D66*E66</f>
        <v/>
      </c>
      <c r="G66" s="360" t="n">
        <v>3</v>
      </c>
      <c r="H66" s="362" t="n">
        <v>0</v>
      </c>
      <c r="I66" s="1106">
        <f>+F66*H66</f>
        <v/>
      </c>
      <c r="J66" s="364">
        <f>+$J$10</f>
        <v/>
      </c>
      <c r="K66" s="1107">
        <f>PMT(J66,G66*12,F66-I66,0)-I66*J66</f>
        <v/>
      </c>
    </row>
    <row r="67" hidden="1" ht="15" customHeight="1">
      <c r="B67" s="27" t="inlineStr">
        <is>
          <t>5.5.5</t>
        </is>
      </c>
      <c r="C67" s="358" t="n"/>
      <c r="D67" s="1110" t="n">
        <v>0</v>
      </c>
      <c r="E67" s="360" t="n">
        <v>0</v>
      </c>
      <c r="F67" s="1105">
        <f>+D67*E67</f>
        <v/>
      </c>
      <c r="G67" s="360" t="n">
        <v>1</v>
      </c>
      <c r="H67" s="362" t="n">
        <v>0</v>
      </c>
      <c r="I67" s="1106">
        <f>+F67*H67</f>
        <v/>
      </c>
      <c r="J67" s="364">
        <f>+$J$10</f>
        <v/>
      </c>
      <c r="K67" s="1107">
        <f>PMT(J67,G67*12,F67-I67,0)-I67*J67</f>
        <v/>
      </c>
    </row>
    <row r="68" hidden="1" ht="15" customHeight="1">
      <c r="B68" s="27" t="inlineStr">
        <is>
          <t>5.5.6</t>
        </is>
      </c>
      <c r="C68" s="358" t="n"/>
      <c r="D68" s="1110" t="n">
        <v>0</v>
      </c>
      <c r="E68" s="360" t="n">
        <v>0</v>
      </c>
      <c r="F68" s="1105">
        <f>+D68*E68</f>
        <v/>
      </c>
      <c r="G68" s="360" t="n">
        <v>1</v>
      </c>
      <c r="H68" s="362" t="n">
        <v>0</v>
      </c>
      <c r="I68" s="1106">
        <f>+F68*H68</f>
        <v/>
      </c>
      <c r="J68" s="364">
        <f>+$J$10</f>
        <v/>
      </c>
      <c r="K68" s="1107">
        <f>PMT(J68,G68*12,F68-I68,0)-I68*J68</f>
        <v/>
      </c>
    </row>
    <row r="69" hidden="1" ht="15" customHeight="1">
      <c r="B69" s="27" t="inlineStr">
        <is>
          <t>5.5.7</t>
        </is>
      </c>
      <c r="C69" s="358" t="n"/>
      <c r="D69" s="1110" t="n">
        <v>0</v>
      </c>
      <c r="E69" s="360" t="n">
        <v>0</v>
      </c>
      <c r="F69" s="1105">
        <f>+D69*E69</f>
        <v/>
      </c>
      <c r="G69" s="360" t="n">
        <v>1</v>
      </c>
      <c r="H69" s="362" t="n">
        <v>0</v>
      </c>
      <c r="I69" s="1106">
        <f>+F69*H69</f>
        <v/>
      </c>
      <c r="J69" s="364">
        <f>+$J$10</f>
        <v/>
      </c>
      <c r="K69" s="1107">
        <f>PMT(J69,G69*12,F69-I69,0)-I69*J69</f>
        <v/>
      </c>
    </row>
    <row r="70" hidden="1" ht="15" customHeight="1">
      <c r="B70" s="27" t="inlineStr">
        <is>
          <t>5.5.8</t>
        </is>
      </c>
      <c r="C70" s="358" t="n"/>
      <c r="D70" s="1110" t="n">
        <v>0</v>
      </c>
      <c r="E70" s="360" t="n">
        <v>0</v>
      </c>
      <c r="F70" s="1105">
        <f>+D70*E70</f>
        <v/>
      </c>
      <c r="G70" s="360" t="n">
        <v>1</v>
      </c>
      <c r="H70" s="362" t="n">
        <v>0</v>
      </c>
      <c r="I70" s="1106">
        <f>+F70*H70</f>
        <v/>
      </c>
      <c r="J70" s="364">
        <f>+$J$10</f>
        <v/>
      </c>
      <c r="K70" s="1107">
        <f>PMT(J70,G70*12,F70-I70,0)-I70*J70</f>
        <v/>
      </c>
    </row>
    <row r="71" hidden="1" ht="15" customHeight="1">
      <c r="B71" s="27" t="inlineStr">
        <is>
          <t>5.5.9</t>
        </is>
      </c>
      <c r="C71" s="358" t="n"/>
      <c r="D71" s="1110" t="n">
        <v>0</v>
      </c>
      <c r="E71" s="360" t="n">
        <v>0</v>
      </c>
      <c r="F71" s="1105">
        <f>+D71*E71</f>
        <v/>
      </c>
      <c r="G71" s="360" t="n">
        <v>1</v>
      </c>
      <c r="H71" s="362" t="n">
        <v>0</v>
      </c>
      <c r="I71" s="1106">
        <f>+F71*H71</f>
        <v/>
      </c>
      <c r="J71" s="364">
        <f>+$J$10</f>
        <v/>
      </c>
      <c r="K71" s="1107">
        <f>PMT(J71,G71*12,F71-I71,0)-I71*J71</f>
        <v/>
      </c>
    </row>
    <row r="72" hidden="1" ht="15" customHeight="1">
      <c r="B72" s="27" t="inlineStr">
        <is>
          <t>5.5.10</t>
        </is>
      </c>
      <c r="C72" s="358" t="n"/>
      <c r="D72" s="1110" t="n">
        <v>0</v>
      </c>
      <c r="E72" s="360" t="n">
        <v>0</v>
      </c>
      <c r="F72" s="1105">
        <f>+D72*E72</f>
        <v/>
      </c>
      <c r="G72" s="360" t="n">
        <v>1</v>
      </c>
      <c r="H72" s="362" t="n">
        <v>0</v>
      </c>
      <c r="I72" s="1106">
        <f>+F72*H72</f>
        <v/>
      </c>
      <c r="J72" s="364">
        <f>+$J$10</f>
        <v/>
      </c>
      <c r="K72" s="1107">
        <f>PMT(J72,G72*12,F72-I72,0)-I72*J72</f>
        <v/>
      </c>
    </row>
    <row r="73" hidden="1" ht="15" customHeight="1">
      <c r="B73" s="27" t="inlineStr">
        <is>
          <t>5.5.11</t>
        </is>
      </c>
      <c r="C73" s="358" t="n"/>
      <c r="D73" s="1110" t="n">
        <v>0</v>
      </c>
      <c r="E73" s="360" t="n">
        <v>0</v>
      </c>
      <c r="F73" s="1105">
        <f>+D73*E73</f>
        <v/>
      </c>
      <c r="G73" s="360" t="n">
        <v>1</v>
      </c>
      <c r="H73" s="362" t="n">
        <v>0</v>
      </c>
      <c r="I73" s="1106">
        <f>+F73*H73</f>
        <v/>
      </c>
      <c r="J73" s="364">
        <f>+$J$10</f>
        <v/>
      </c>
      <c r="K73" s="1107">
        <f>PMT(J73,G73*12,F73-I73,0)-I73*J73</f>
        <v/>
      </c>
    </row>
    <row r="74" hidden="1" ht="15" customHeight="1">
      <c r="B74" s="27" t="inlineStr">
        <is>
          <t>5.5.12</t>
        </is>
      </c>
      <c r="C74" s="358" t="n"/>
      <c r="D74" s="1110" t="n">
        <v>0</v>
      </c>
      <c r="E74" s="360" t="n">
        <v>0</v>
      </c>
      <c r="F74" s="1105">
        <f>+D74*E74</f>
        <v/>
      </c>
      <c r="G74" s="360" t="n">
        <v>1</v>
      </c>
      <c r="H74" s="362" t="n">
        <v>0</v>
      </c>
      <c r="I74" s="1106">
        <f>+F74*H74</f>
        <v/>
      </c>
      <c r="J74" s="364">
        <f>+$J$10</f>
        <v/>
      </c>
      <c r="K74" s="1107">
        <f>PMT(J74,G74*12,F74-I74,0)-I74*J74</f>
        <v/>
      </c>
    </row>
    <row r="75" ht="15.6" customFormat="1" customHeight="1" s="26">
      <c r="B75" s="25" t="inlineStr">
        <is>
          <t>5.6</t>
        </is>
      </c>
      <c r="C75" s="1102" t="inlineStr">
        <is>
          <t>GASTOS DE ORGANIZACIÓN E IMPLEMENTACIÓN</t>
        </is>
      </c>
      <c r="D75" s="846" t="n"/>
      <c r="E75" s="847" t="n"/>
      <c r="F75" s="1103">
        <f>SUM(F76:F87)</f>
        <v/>
      </c>
      <c r="G75" s="356" t="n"/>
      <c r="H75" s="356" t="n"/>
      <c r="I75" s="1103">
        <f>SUM(I76:I87)</f>
        <v/>
      </c>
      <c r="J75" s="367" t="n"/>
      <c r="K75" s="1103">
        <f>SUM(K76:K87)*-1</f>
        <v/>
      </c>
    </row>
    <row r="76" ht="15" customHeight="1">
      <c r="B76" s="27" t="inlineStr">
        <is>
          <t>5.6.1</t>
        </is>
      </c>
      <c r="C76" s="358" t="n"/>
      <c r="D76" s="1110" t="n"/>
      <c r="E76" s="360" t="n"/>
      <c r="F76" s="1105">
        <f>D76*E76</f>
        <v/>
      </c>
      <c r="G76" s="360" t="n">
        <v>3</v>
      </c>
      <c r="H76" s="362" t="n">
        <v>0</v>
      </c>
      <c r="I76" s="1106">
        <f>+F76*H76</f>
        <v/>
      </c>
      <c r="J76" s="364">
        <f>+$J$10</f>
        <v/>
      </c>
      <c r="K76" s="1107">
        <f>PMT(J76,G76*12,F76-I76,0)-I76*J76</f>
        <v/>
      </c>
    </row>
    <row r="77" ht="15.6" customHeight="1">
      <c r="B77" s="27" t="inlineStr">
        <is>
          <t>5.6.2</t>
        </is>
      </c>
      <c r="C77" s="358" t="n"/>
      <c r="D77" s="1110" t="n"/>
      <c r="E77" s="360" t="n"/>
      <c r="F77" s="1105" t="n"/>
      <c r="G77" s="360" t="n"/>
      <c r="H77" s="362" t="n"/>
      <c r="I77" s="1106" t="n"/>
      <c r="J77" s="364" t="n"/>
      <c r="K77" s="1107" t="n"/>
      <c r="M77" s="1111" t="n"/>
      <c r="N77" s="13" t="n"/>
      <c r="O77" s="1114" t="n"/>
    </row>
    <row r="78" hidden="1" ht="15" customHeight="1">
      <c r="B78" s="27" t="inlineStr">
        <is>
          <t>5.6.3</t>
        </is>
      </c>
      <c r="C78" s="358" t="n"/>
      <c r="D78" s="1110" t="n"/>
      <c r="E78" s="360" t="n"/>
      <c r="F78" s="1105">
        <f>+D78*E78</f>
        <v/>
      </c>
      <c r="G78" s="360" t="n">
        <v>3</v>
      </c>
      <c r="H78" s="362" t="n">
        <v>0</v>
      </c>
      <c r="I78" s="1106">
        <f>+F78*H78</f>
        <v/>
      </c>
      <c r="J78" s="364">
        <f>+$J$10</f>
        <v/>
      </c>
      <c r="K78" s="1107">
        <f>PMT(J78,G78*12,F78-I78,0)-I78*J78</f>
        <v/>
      </c>
    </row>
    <row r="79" hidden="1" ht="15" customHeight="1">
      <c r="B79" s="27" t="inlineStr">
        <is>
          <t>5.6.4</t>
        </is>
      </c>
      <c r="C79" s="358" t="n"/>
      <c r="D79" s="1110" t="n"/>
      <c r="E79" s="360" t="n"/>
      <c r="F79" s="1105">
        <f>+D79*E79</f>
        <v/>
      </c>
      <c r="G79" s="360" t="n">
        <v>3</v>
      </c>
      <c r="H79" s="362" t="n">
        <v>0</v>
      </c>
      <c r="I79" s="1106">
        <f>+F79*H79</f>
        <v/>
      </c>
      <c r="J79" s="364">
        <f>+$J$10</f>
        <v/>
      </c>
      <c r="K79" s="1107">
        <f>PMT(J79,G79*12,F79-I79,0)-I79*J79</f>
        <v/>
      </c>
    </row>
    <row r="80" hidden="1" ht="15" customHeight="1">
      <c r="B80" s="27" t="inlineStr">
        <is>
          <t>5.6.5</t>
        </is>
      </c>
      <c r="C80" s="358" t="n"/>
      <c r="D80" s="1110" t="n"/>
      <c r="E80" s="360" t="n"/>
      <c r="F80" s="1105">
        <f>+D80*E80</f>
        <v/>
      </c>
      <c r="G80" s="360" t="n">
        <v>3</v>
      </c>
      <c r="H80" s="362" t="n">
        <v>0</v>
      </c>
      <c r="I80" s="1106">
        <f>+F80*H80</f>
        <v/>
      </c>
      <c r="J80" s="364">
        <f>+$J$10</f>
        <v/>
      </c>
      <c r="K80" s="1107">
        <f>PMT(J80,G80*12,F80-I80,0)-I80*J80</f>
        <v/>
      </c>
    </row>
    <row r="81" hidden="1" ht="15" customHeight="1">
      <c r="B81" s="27" t="inlineStr">
        <is>
          <t>5.6.6</t>
        </is>
      </c>
      <c r="C81" s="358" t="n"/>
      <c r="D81" s="1110" t="n"/>
      <c r="E81" s="360" t="n"/>
      <c r="F81" s="1105">
        <f>+D81*E81</f>
        <v/>
      </c>
      <c r="G81" s="360" t="n">
        <v>3</v>
      </c>
      <c r="H81" s="362" t="n">
        <v>0</v>
      </c>
      <c r="I81" s="1106">
        <f>+F81*H81</f>
        <v/>
      </c>
      <c r="J81" s="364">
        <f>+$J$10</f>
        <v/>
      </c>
      <c r="K81" s="1107">
        <f>PMT(J81,G81*12,F81-I81,0)-I81*J81</f>
        <v/>
      </c>
    </row>
    <row r="82" hidden="1" ht="15" customHeight="1">
      <c r="B82" s="27" t="inlineStr">
        <is>
          <t>5.6.7</t>
        </is>
      </c>
      <c r="C82" s="358" t="n"/>
      <c r="D82" s="1110" t="n"/>
      <c r="E82" s="360" t="n"/>
      <c r="F82" s="1105">
        <f>+D82*E82</f>
        <v/>
      </c>
      <c r="G82" s="360" t="n">
        <v>3</v>
      </c>
      <c r="H82" s="362" t="n">
        <v>0</v>
      </c>
      <c r="I82" s="1106">
        <f>+F82*H82</f>
        <v/>
      </c>
      <c r="J82" s="364">
        <f>+$J$10</f>
        <v/>
      </c>
      <c r="K82" s="1107">
        <f>PMT(J82,G82*12,F82-I82,0)-I82*J82</f>
        <v/>
      </c>
    </row>
    <row r="83" hidden="1" ht="15" customHeight="1">
      <c r="B83" s="27" t="inlineStr">
        <is>
          <t>5.6.8</t>
        </is>
      </c>
      <c r="C83" s="358" t="n"/>
      <c r="D83" s="1110" t="n"/>
      <c r="E83" s="360" t="n"/>
      <c r="F83" s="1105">
        <f>+D83*E83</f>
        <v/>
      </c>
      <c r="G83" s="360" t="n">
        <v>3</v>
      </c>
      <c r="H83" s="362" t="n">
        <v>0</v>
      </c>
      <c r="I83" s="1106">
        <f>+F83*H83</f>
        <v/>
      </c>
      <c r="J83" s="364">
        <f>+$J$10</f>
        <v/>
      </c>
      <c r="K83" s="1107">
        <f>PMT(J83,G83*12,F83-I83,0)-I83*J83</f>
        <v/>
      </c>
    </row>
    <row r="84" hidden="1" ht="15" customHeight="1">
      <c r="B84" s="27" t="inlineStr">
        <is>
          <t>5.6.9</t>
        </is>
      </c>
      <c r="C84" s="358" t="n"/>
      <c r="D84" s="1110" t="n"/>
      <c r="E84" s="360" t="n"/>
      <c r="F84" s="1105">
        <f>+D84*E84</f>
        <v/>
      </c>
      <c r="G84" s="360" t="n">
        <v>3</v>
      </c>
      <c r="H84" s="362" t="n">
        <v>0</v>
      </c>
      <c r="I84" s="1106">
        <f>+F84*H84</f>
        <v/>
      </c>
      <c r="J84" s="364">
        <f>+$J$10</f>
        <v/>
      </c>
      <c r="K84" s="1107">
        <f>PMT(J84,G84*12,F84-I84,0)-I84*J84</f>
        <v/>
      </c>
    </row>
    <row r="85" hidden="1" ht="15" customHeight="1">
      <c r="B85" s="27" t="inlineStr">
        <is>
          <t>5.6.10</t>
        </is>
      </c>
      <c r="C85" s="358" t="n"/>
      <c r="D85" s="1110" t="n"/>
      <c r="E85" s="360" t="n"/>
      <c r="F85" s="1105">
        <f>+D85*E85</f>
        <v/>
      </c>
      <c r="G85" s="360" t="n">
        <v>3</v>
      </c>
      <c r="H85" s="362" t="n">
        <v>0</v>
      </c>
      <c r="I85" s="1106">
        <f>+F85*H85</f>
        <v/>
      </c>
      <c r="J85" s="364">
        <f>+$J$10</f>
        <v/>
      </c>
      <c r="K85" s="1107">
        <f>PMT(J85,G85*12,F85-I85,0)-I85*J85</f>
        <v/>
      </c>
    </row>
    <row r="86" hidden="1" ht="15" customHeight="1">
      <c r="B86" s="27" t="inlineStr">
        <is>
          <t>5.6.11</t>
        </is>
      </c>
      <c r="C86" s="358" t="n"/>
      <c r="D86" s="1110" t="n"/>
      <c r="E86" s="360" t="n"/>
      <c r="F86" s="1105">
        <f>+D86*E86</f>
        <v/>
      </c>
      <c r="G86" s="360" t="n">
        <v>3</v>
      </c>
      <c r="H86" s="362" t="n">
        <v>0</v>
      </c>
      <c r="I86" s="1106">
        <f>+F86*H86</f>
        <v/>
      </c>
      <c r="J86" s="364">
        <f>+$J$10</f>
        <v/>
      </c>
      <c r="K86" s="1107">
        <f>PMT(J86,G86*12,F86-I86,0)-I86*J86</f>
        <v/>
      </c>
    </row>
    <row r="87" hidden="1" ht="15" customHeight="1">
      <c r="B87" s="27" t="inlineStr">
        <is>
          <t>5.6.12</t>
        </is>
      </c>
      <c r="C87" s="374" t="n"/>
      <c r="D87" s="1115" t="n"/>
      <c r="E87" s="376" t="n"/>
      <c r="F87" s="1116">
        <f>+D87*E87</f>
        <v/>
      </c>
      <c r="G87" s="376" t="n">
        <v>3</v>
      </c>
      <c r="H87" s="378" t="n">
        <v>0</v>
      </c>
      <c r="I87" s="1117">
        <f>+F87*H87</f>
        <v/>
      </c>
      <c r="J87" s="380">
        <f>+$J$10</f>
        <v/>
      </c>
      <c r="K87" s="1118">
        <f>PMT(J87,G87*12,F87-I87,0)-I87*J87</f>
        <v/>
      </c>
    </row>
    <row r="88" ht="15.6" customHeight="1" thickBot="1">
      <c r="D88" s="1111" t="n"/>
      <c r="E88" s="823" t="n"/>
      <c r="F88" s="1119" t="n"/>
      <c r="J88" s="823" t="n"/>
    </row>
    <row r="89" ht="30" customFormat="1" customHeight="1" s="236" thickBot="1">
      <c r="B89" s="24" t="n"/>
      <c r="C89" s="841" t="inlineStr">
        <is>
          <t>TOTAL INVERSIÓN</t>
        </is>
      </c>
      <c r="D89" s="917" t="n"/>
      <c r="E89" s="1100" t="n"/>
      <c r="F89" s="1120">
        <f>+F10+F23+F36+F49+F62+F75</f>
        <v/>
      </c>
      <c r="G89" s="844" t="inlineStr">
        <is>
          <t>RECUPERACIÓN DE INVERSIÓN POR AMORTIZACIÓN</t>
        </is>
      </c>
      <c r="H89" s="917" t="n"/>
      <c r="I89" s="917" t="n"/>
      <c r="J89" s="1100" t="n"/>
      <c r="K89" s="1121">
        <f>+J8*12*'Hoja de CIERRE'!$AD$45</f>
        <v/>
      </c>
      <c r="M89" s="24" t="n"/>
      <c r="N89" s="24" t="n"/>
      <c r="O89" s="24" t="n"/>
    </row>
    <row r="90" ht="19.8" customHeight="1" thickBot="1">
      <c r="C90" s="843" t="n"/>
      <c r="F90" s="1114" t="n"/>
      <c r="M90" s="1114" t="n"/>
      <c r="N90" s="13" t="n"/>
      <c r="O90" s="1114" t="n"/>
      <c r="P90" s="1122" t="n"/>
    </row>
    <row r="91" ht="30" customHeight="1" thickBot="1">
      <c r="D91" s="399" t="inlineStr">
        <is>
          <t>K para inversiones B.Uso</t>
        </is>
      </c>
      <c r="E91" s="400" t="n"/>
      <c r="F91" s="1123">
        <f>+F89-F75+M77</f>
        <v/>
      </c>
      <c r="G91" s="1124" t="inlineStr">
        <is>
          <t>SALDO A RECUPERAR POR VALOR RESIDUAL</t>
        </is>
      </c>
      <c r="H91" s="917" t="n"/>
      <c r="I91" s="917" t="n"/>
      <c r="J91" s="1100" t="n"/>
      <c r="K91" s="1121">
        <f>+K89-F89</f>
        <v/>
      </c>
      <c r="M91" s="1114" t="n"/>
      <c r="N91" s="13" t="n"/>
      <c r="O91" s="1125" t="n"/>
    </row>
    <row r="93">
      <c r="F93" s="1108" t="n"/>
    </row>
    <row r="98">
      <c r="I98" s="1126" t="n"/>
      <c r="K98" s="1126" t="n"/>
    </row>
    <row r="99">
      <c r="I99" s="1126" t="n"/>
      <c r="K99" s="1126" t="n"/>
    </row>
    <row r="100">
      <c r="I100" s="1126" t="n"/>
      <c r="K100" s="1126" t="n"/>
    </row>
    <row r="101">
      <c r="I101" s="1126" t="n"/>
      <c r="K101" s="1126" t="n"/>
    </row>
    <row r="102">
      <c r="K102" s="1127" t="n"/>
      <c r="M102" s="1127" t="n"/>
    </row>
    <row r="103">
      <c r="I103" s="1126" t="n"/>
      <c r="K103" s="1126" t="n"/>
    </row>
    <row r="104">
      <c r="I104" s="1126" t="n"/>
      <c r="K104" s="1126" t="n"/>
    </row>
    <row r="105">
      <c r="K105" s="1128" t="n"/>
      <c r="M105" s="1127" t="n"/>
    </row>
    <row r="107">
      <c r="I107" s="1126" t="n"/>
      <c r="K107" s="1126" t="n"/>
    </row>
    <row r="108">
      <c r="I108" s="1126" t="n"/>
      <c r="K108" s="1126" t="n"/>
    </row>
    <row r="109">
      <c r="I109" s="1126" t="n"/>
      <c r="K109" s="1126" t="n"/>
    </row>
    <row r="110">
      <c r="I110" s="1126" t="n"/>
      <c r="K110" s="1126" t="n"/>
    </row>
    <row r="111">
      <c r="I111" s="1126" t="n"/>
      <c r="K111" s="1126" t="n"/>
    </row>
    <row r="112">
      <c r="I112" s="1126" t="n"/>
      <c r="K112" s="1126" t="n"/>
      <c r="M112" s="1127" t="n"/>
    </row>
    <row r="113">
      <c r="I113" s="1126" t="n"/>
      <c r="K113" s="1126" t="n"/>
    </row>
    <row r="114">
      <c r="I114" s="1126" t="n"/>
      <c r="K114" s="1126" t="n"/>
    </row>
    <row r="115">
      <c r="I115" s="1126" t="n"/>
      <c r="K115" s="1126" t="n"/>
    </row>
    <row r="116">
      <c r="K116" s="1127" t="n"/>
      <c r="M116" s="1127" t="n"/>
    </row>
    <row r="118">
      <c r="M118" s="1126" t="n"/>
    </row>
    <row r="121">
      <c r="M121" s="418" t="n"/>
    </row>
  </sheetData>
  <mergeCells count="14">
    <mergeCell ref="C36:E36"/>
    <mergeCell ref="C89:E89"/>
    <mergeCell ref="B1:K1"/>
    <mergeCell ref="C90:D90"/>
    <mergeCell ref="C10:E10"/>
    <mergeCell ref="C23:E23"/>
    <mergeCell ref="C75:E75"/>
    <mergeCell ref="C49:E49"/>
    <mergeCell ref="G91:J91"/>
    <mergeCell ref="C62:E62"/>
    <mergeCell ref="J8:K8"/>
    <mergeCell ref="B8:I8"/>
    <mergeCell ref="H9:I9"/>
    <mergeCell ref="G89:J89"/>
  </mergeCells>
  <printOptions horizontalCentered="1"/>
  <pageMargins left="0.7874015748031497" right="0.3937007874015748" top="0.7874015748031497" bottom="0.3937007874015748" header="0" footer="0"/>
  <pageSetup orientation="landscape" paperSize="9" scale="53" horizontalDpi="300" verticalDpi="300"/>
  <headerFooter alignWithMargins="0">
    <oddHeader/>
    <oddFooter>&amp;L&amp;P - &amp;N CONFIDENCIAL&amp;C&amp;D&amp;R&amp;F - &amp;A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3:G126"/>
  <sheetViews>
    <sheetView showGridLines="0" topLeftCell="A73" zoomScale="75" zoomScaleNormal="75" workbookViewId="0">
      <selection activeCell="B82" sqref="B82:E83"/>
    </sheetView>
  </sheetViews>
  <sheetFormatPr baseColWidth="10" defaultColWidth="11.44140625" defaultRowHeight="13.2"/>
  <cols>
    <col width="6.33203125" customWidth="1" style="481" min="1" max="1"/>
    <col width="79" customWidth="1" min="2" max="2"/>
    <col width="11.44140625" customWidth="1" style="481" min="3" max="3"/>
    <col width="13.109375" bestFit="1" customWidth="1" style="482" min="4" max="4"/>
    <col width="19.88671875" customWidth="1" style="481" min="5" max="5"/>
    <col width="11.44140625" customWidth="1" style="481" min="6" max="6"/>
    <col width="108.109375" bestFit="1" customWidth="1" style="481" min="7" max="7"/>
    <col width="11.44140625" customWidth="1" style="481" min="8" max="11"/>
    <col width="11.44140625" customWidth="1" style="483" min="12" max="12"/>
    <col width="11.44140625" customWidth="1" style="481" min="13" max="16384"/>
  </cols>
  <sheetData>
    <row r="3">
      <c r="A3" s="484" t="inlineStr">
        <is>
          <t>ITEM</t>
        </is>
      </c>
      <c r="B3" s="1" t="inlineStr">
        <is>
          <t>DESCRIPCION</t>
        </is>
      </c>
      <c r="C3" s="484" t="inlineStr">
        <is>
          <t>CANTIDA</t>
        </is>
      </c>
      <c r="D3" s="485" t="inlineStr">
        <is>
          <t>PU</t>
        </is>
      </c>
      <c r="E3" s="484" t="inlineStr">
        <is>
          <t>$</t>
        </is>
      </c>
    </row>
    <row r="4" ht="13.8" customHeight="1">
      <c r="A4" s="484" t="n"/>
      <c r="B4" s="486" t="n"/>
      <c r="C4" s="486" t="n">
        <v>0</v>
      </c>
      <c r="D4" s="1129" t="n">
        <v>0</v>
      </c>
      <c r="E4" s="1130" t="n"/>
      <c r="G4" s="496" t="n"/>
    </row>
    <row r="5" ht="13.8" customHeight="1">
      <c r="A5" s="484" t="n"/>
      <c r="B5" s="486" t="n"/>
      <c r="C5" s="486" t="n">
        <v>0</v>
      </c>
      <c r="D5" s="1129" t="n">
        <v>0</v>
      </c>
      <c r="E5" s="1130" t="n"/>
      <c r="G5" s="496" t="n"/>
    </row>
    <row r="6" ht="13.8" customHeight="1">
      <c r="A6" s="484" t="n">
        <v>3</v>
      </c>
      <c r="B6" s="486" t="n"/>
      <c r="C6" s="486" t="n">
        <v>0</v>
      </c>
      <c r="D6" s="1129" t="n">
        <v>0</v>
      </c>
      <c r="E6" s="1130">
        <f>C6*D6</f>
        <v/>
      </c>
      <c r="G6" s="496" t="n"/>
    </row>
    <row r="7" ht="13.8" customHeight="1">
      <c r="A7" s="484" t="n">
        <v>4</v>
      </c>
      <c r="B7" s="486" t="n"/>
      <c r="C7" s="486" t="n">
        <v>0</v>
      </c>
      <c r="D7" s="1129" t="n">
        <v>0</v>
      </c>
      <c r="E7" s="1130" t="n"/>
      <c r="G7" s="496" t="n"/>
    </row>
    <row r="8" ht="13.8" customHeight="1">
      <c r="A8" s="484" t="n">
        <v>5</v>
      </c>
      <c r="B8" s="486" t="n"/>
      <c r="C8" s="486" t="n">
        <v>0</v>
      </c>
      <c r="D8" s="1129" t="n">
        <v>0</v>
      </c>
      <c r="E8" s="1130" t="n"/>
      <c r="G8" s="496" t="n"/>
    </row>
    <row r="9" ht="13.8" customHeight="1">
      <c r="A9" s="484" t="n">
        <v>6</v>
      </c>
      <c r="B9" s="486" t="n"/>
      <c r="C9" s="486" t="n">
        <v>0</v>
      </c>
      <c r="D9" s="1129" t="n">
        <v>0</v>
      </c>
      <c r="E9" s="1130" t="n"/>
      <c r="G9" s="496" t="n"/>
    </row>
    <row r="10" ht="13.8" customHeight="1">
      <c r="A10" s="484" t="n">
        <v>7</v>
      </c>
      <c r="B10" s="486" t="n"/>
      <c r="C10" s="486" t="n">
        <v>0</v>
      </c>
      <c r="D10" s="1129" t="n">
        <v>0</v>
      </c>
      <c r="E10" s="1130">
        <f>C10*D10</f>
        <v/>
      </c>
      <c r="G10" s="496" t="n"/>
    </row>
    <row r="11" ht="13.8" customHeight="1">
      <c r="A11" s="484" t="n">
        <v>8</v>
      </c>
      <c r="B11" s="486" t="n"/>
      <c r="C11" s="486" t="n">
        <v>0</v>
      </c>
      <c r="D11" s="1129" t="n">
        <v>0</v>
      </c>
      <c r="E11" s="1130" t="n"/>
      <c r="G11" s="496" t="n"/>
    </row>
    <row r="12" ht="13.8" customHeight="1">
      <c r="A12" s="484" t="n">
        <v>9</v>
      </c>
      <c r="B12" s="486" t="n"/>
      <c r="C12" s="486" t="n">
        <v>0</v>
      </c>
      <c r="D12" s="1129" t="n">
        <v>0</v>
      </c>
      <c r="E12" s="1130">
        <f>C12*D12</f>
        <v/>
      </c>
      <c r="G12" s="496" t="n"/>
    </row>
    <row r="13" ht="13.8" customHeight="1">
      <c r="A13" s="484" t="n">
        <v>10</v>
      </c>
      <c r="B13" s="486" t="n"/>
      <c r="C13" s="486" t="n">
        <v>0</v>
      </c>
      <c r="D13" s="1129" t="n">
        <v>0</v>
      </c>
      <c r="E13" s="1130">
        <f>C13*D13</f>
        <v/>
      </c>
      <c r="G13" s="496" t="n"/>
    </row>
    <row r="14" ht="13.8" customHeight="1">
      <c r="A14" s="484" t="n">
        <v>11</v>
      </c>
      <c r="B14" s="486" t="n"/>
      <c r="C14" s="486" t="n">
        <v>0</v>
      </c>
      <c r="D14" s="1129" t="n">
        <v>0</v>
      </c>
      <c r="E14" s="1130" t="n"/>
      <c r="G14" s="496" t="n"/>
    </row>
    <row r="15" ht="13.8" customHeight="1">
      <c r="A15" s="484" t="n">
        <v>12</v>
      </c>
      <c r="B15" s="486" t="n"/>
      <c r="C15" s="486" t="n">
        <v>0</v>
      </c>
      <c r="D15" s="1129" t="n">
        <v>0</v>
      </c>
      <c r="E15" s="1130" t="n"/>
      <c r="G15" s="496" t="n"/>
    </row>
    <row r="16" ht="13.8" customHeight="1">
      <c r="A16" s="484" t="n">
        <v>13</v>
      </c>
      <c r="B16" s="486" t="n"/>
      <c r="C16" s="486" t="n">
        <v>0</v>
      </c>
      <c r="D16" s="1129" t="n">
        <v>0</v>
      </c>
      <c r="E16" s="1130" t="n"/>
      <c r="G16" s="496" t="n"/>
    </row>
    <row r="17" ht="13.8" customHeight="1">
      <c r="A17" s="484" t="n">
        <v>14</v>
      </c>
      <c r="B17" s="486" t="n"/>
      <c r="C17" s="486" t="n">
        <v>0</v>
      </c>
      <c r="D17" s="1129" t="n">
        <v>0</v>
      </c>
      <c r="E17" s="1130" t="n"/>
      <c r="G17" s="496" t="n"/>
    </row>
    <row r="18" ht="14.4" customHeight="1">
      <c r="A18" s="484" t="n">
        <v>15</v>
      </c>
      <c r="B18" s="486" t="n"/>
      <c r="C18" s="486" t="n">
        <v>0</v>
      </c>
      <c r="D18" s="1129" t="n">
        <v>0</v>
      </c>
      <c r="E18" s="1130" t="n"/>
      <c r="G18" s="496" t="n"/>
    </row>
    <row r="19" ht="13.8" customHeight="1">
      <c r="A19" s="484" t="n">
        <v>16</v>
      </c>
      <c r="B19" s="486" t="n"/>
      <c r="C19" s="486" t="n">
        <v>0</v>
      </c>
      <c r="D19" s="1129" t="n">
        <v>0</v>
      </c>
      <c r="E19" s="1130" t="n"/>
      <c r="G19" s="496" t="n"/>
    </row>
    <row r="20" ht="13.8" customHeight="1">
      <c r="A20" s="484" t="n">
        <v>17</v>
      </c>
      <c r="B20" s="486" t="n"/>
      <c r="C20" s="486" t="n">
        <v>0</v>
      </c>
      <c r="D20" s="1129" t="n">
        <v>0</v>
      </c>
      <c r="E20" s="1130" t="n"/>
      <c r="G20" s="496" t="n"/>
    </row>
    <row r="21" ht="14.4" customHeight="1">
      <c r="A21" s="484" t="n">
        <v>18</v>
      </c>
      <c r="B21" s="486" t="n"/>
      <c r="C21" s="486" t="n">
        <v>0</v>
      </c>
      <c r="D21" s="1129" t="n">
        <v>0</v>
      </c>
      <c r="E21" s="1130" t="n"/>
      <c r="G21" s="496" t="n"/>
    </row>
    <row r="22" ht="13.8" customHeight="1">
      <c r="A22" s="484" t="n">
        <v>19</v>
      </c>
      <c r="B22" s="486" t="n"/>
      <c r="C22" s="486" t="n">
        <v>0</v>
      </c>
      <c r="D22" s="1129" t="n">
        <v>0</v>
      </c>
      <c r="E22" s="1130" t="n"/>
      <c r="G22" s="496" t="n"/>
    </row>
    <row r="23" ht="13.8" customHeight="1">
      <c r="A23" s="484" t="n">
        <v>20</v>
      </c>
      <c r="B23" s="486" t="n"/>
      <c r="C23" s="486" t="n">
        <v>0</v>
      </c>
      <c r="D23" s="1129" t="n">
        <v>0</v>
      </c>
      <c r="E23" s="1130" t="n"/>
      <c r="G23" s="496" t="n"/>
    </row>
    <row r="24" ht="13.8" customHeight="1">
      <c r="A24" s="484" t="n">
        <v>21</v>
      </c>
      <c r="B24" s="486" t="n"/>
      <c r="C24" s="486" t="n">
        <v>0</v>
      </c>
      <c r="D24" s="1129" t="n">
        <v>0</v>
      </c>
      <c r="E24" s="1130" t="n"/>
      <c r="G24" s="496" t="n"/>
    </row>
    <row r="25" ht="13.8" customHeight="1">
      <c r="A25" s="484" t="n">
        <v>22</v>
      </c>
      <c r="B25" s="486" t="n"/>
      <c r="C25" s="486" t="n">
        <v>0</v>
      </c>
      <c r="D25" s="1129" t="n">
        <v>0</v>
      </c>
      <c r="E25" s="1130" t="n"/>
      <c r="G25" s="496" t="n"/>
    </row>
    <row r="26" ht="13.8" customHeight="1">
      <c r="A26" s="484" t="n">
        <v>23</v>
      </c>
      <c r="B26" s="486" t="n"/>
      <c r="C26" s="486" t="n">
        <v>0</v>
      </c>
      <c r="D26" s="1129" t="n">
        <v>0</v>
      </c>
      <c r="E26" s="1130" t="n"/>
      <c r="G26" s="496" t="n"/>
    </row>
    <row r="27" ht="13.8" customHeight="1">
      <c r="A27" s="484" t="n">
        <v>24</v>
      </c>
      <c r="B27" s="486" t="n"/>
      <c r="C27" s="486" t="n">
        <v>0</v>
      </c>
      <c r="D27" s="1129" t="n">
        <v>0</v>
      </c>
      <c r="E27" s="1130" t="n"/>
      <c r="G27" s="496" t="n"/>
    </row>
    <row r="28" ht="13.8" customHeight="1">
      <c r="A28" s="484" t="n">
        <v>25</v>
      </c>
      <c r="B28" s="486" t="n"/>
      <c r="C28" s="486" t="n">
        <v>0</v>
      </c>
      <c r="D28" s="1129" t="n">
        <v>0</v>
      </c>
      <c r="E28" s="1130" t="n"/>
      <c r="G28" s="496" t="n"/>
    </row>
    <row r="29" ht="13.8" customHeight="1">
      <c r="A29" s="484" t="n">
        <v>26</v>
      </c>
      <c r="B29" s="486" t="n"/>
      <c r="C29" s="486" t="n">
        <v>0</v>
      </c>
      <c r="D29" s="1129" t="n">
        <v>0</v>
      </c>
      <c r="E29" s="1130">
        <f>C29*D29</f>
        <v/>
      </c>
      <c r="G29" s="496" t="n"/>
    </row>
    <row r="30" ht="13.8" customHeight="1">
      <c r="A30" s="484" t="n">
        <v>27</v>
      </c>
      <c r="B30" s="486" t="n"/>
      <c r="C30" s="486" t="n">
        <v>0</v>
      </c>
      <c r="D30" s="1129" t="n">
        <v>0</v>
      </c>
      <c r="E30" s="1130" t="n"/>
      <c r="G30" s="496" t="n"/>
    </row>
    <row r="31" ht="13.8" customHeight="1">
      <c r="A31" s="484" t="n">
        <v>28</v>
      </c>
      <c r="B31" s="486" t="n"/>
      <c r="C31" s="486" t="n">
        <v>0</v>
      </c>
      <c r="D31" s="1129" t="n">
        <v>0</v>
      </c>
      <c r="E31" s="1130">
        <f>C31*D31</f>
        <v/>
      </c>
      <c r="G31" s="496" t="n"/>
    </row>
    <row r="32" ht="13.8" customHeight="1">
      <c r="A32" s="484" t="n">
        <v>29</v>
      </c>
      <c r="B32" s="486" t="n"/>
      <c r="C32" s="486" t="n">
        <v>0</v>
      </c>
      <c r="D32" s="1129" t="n">
        <v>0</v>
      </c>
      <c r="E32" s="1130">
        <f>C32*D32</f>
        <v/>
      </c>
      <c r="G32" s="496" t="n"/>
    </row>
    <row r="33" ht="27.6" customHeight="1">
      <c r="A33" s="484" t="n">
        <v>30</v>
      </c>
      <c r="B33" s="486" t="n"/>
      <c r="C33" s="486" t="n">
        <v>0</v>
      </c>
      <c r="D33" s="1129" t="n">
        <v>0</v>
      </c>
      <c r="E33" s="1130" t="n"/>
      <c r="G33" s="496" t="n"/>
    </row>
    <row r="34" ht="13.8" customHeight="1">
      <c r="A34" s="484" t="n">
        <v>31</v>
      </c>
      <c r="B34" s="486" t="n"/>
      <c r="C34" s="486" t="n">
        <v>0</v>
      </c>
      <c r="D34" s="1129" t="n">
        <v>0</v>
      </c>
      <c r="E34" s="1130" t="n"/>
      <c r="G34" s="497" t="n"/>
    </row>
    <row r="35" ht="15.6" customHeight="1">
      <c r="A35" s="484" t="n">
        <v>32</v>
      </c>
      <c r="B35" s="486" t="n"/>
      <c r="C35" s="486" t="n">
        <v>0</v>
      </c>
      <c r="D35" s="1129" t="n">
        <v>0</v>
      </c>
      <c r="E35" s="1130" t="n"/>
      <c r="G35" s="498" t="n"/>
    </row>
    <row r="36">
      <c r="A36" s="484" t="n">
        <v>33</v>
      </c>
      <c r="B36" s="486" t="n"/>
      <c r="C36" s="486" t="n">
        <v>0</v>
      </c>
      <c r="D36" s="1129" t="n">
        <v>0</v>
      </c>
      <c r="E36" s="1130" t="n"/>
      <c r="G36" s="499" t="n"/>
    </row>
    <row r="37" ht="13.8" customHeight="1">
      <c r="A37" s="484" t="n">
        <v>34</v>
      </c>
      <c r="B37" s="486" t="n"/>
      <c r="C37" s="486" t="n">
        <v>0</v>
      </c>
      <c r="D37" s="1129" t="n">
        <v>0</v>
      </c>
      <c r="E37" s="1130" t="n"/>
      <c r="G37" s="497" t="n"/>
    </row>
    <row r="38" ht="13.8" customHeight="1">
      <c r="A38" s="484" t="n">
        <v>35</v>
      </c>
      <c r="B38" s="486" t="n"/>
      <c r="C38" s="486" t="n">
        <v>0</v>
      </c>
      <c r="D38" s="1129" t="n">
        <v>0</v>
      </c>
      <c r="E38" s="1130" t="n"/>
      <c r="G38" s="497" t="n"/>
    </row>
    <row r="39" ht="14.4" customHeight="1">
      <c r="A39" s="484" t="n">
        <v>36</v>
      </c>
      <c r="B39" s="486" t="n"/>
      <c r="C39" s="486" t="n">
        <v>0</v>
      </c>
      <c r="D39" s="1129" t="n">
        <v>0</v>
      </c>
      <c r="E39" s="1130">
        <f>C39*D39</f>
        <v/>
      </c>
      <c r="G39" s="500" t="n"/>
    </row>
    <row r="40" ht="14.4" customHeight="1">
      <c r="A40" s="484" t="n">
        <v>37</v>
      </c>
      <c r="B40" s="486" t="n"/>
      <c r="C40" s="486" t="n">
        <v>0</v>
      </c>
      <c r="D40" s="1129" t="n">
        <v>0</v>
      </c>
      <c r="E40" s="1130">
        <f>C40*D40</f>
        <v/>
      </c>
      <c r="G40" s="501" t="n"/>
    </row>
    <row r="41" ht="14.4" customHeight="1">
      <c r="A41" s="484" t="n">
        <v>38</v>
      </c>
      <c r="B41" s="486" t="n"/>
      <c r="C41" s="486" t="n">
        <v>0</v>
      </c>
      <c r="D41" s="1129" t="n">
        <v>0</v>
      </c>
      <c r="E41" s="1130">
        <f>C41*D41</f>
        <v/>
      </c>
      <c r="G41" s="500" t="n"/>
    </row>
    <row r="42" ht="14.4" customHeight="1">
      <c r="A42" s="484" t="n">
        <v>39</v>
      </c>
      <c r="B42" s="486" t="n"/>
      <c r="C42" s="486" t="n">
        <v>0</v>
      </c>
      <c r="D42" s="1129" t="n">
        <v>0</v>
      </c>
      <c r="E42" s="1130">
        <f>C42*D42</f>
        <v/>
      </c>
      <c r="G42" s="501" t="n"/>
    </row>
    <row r="43" ht="14.4" customHeight="1">
      <c r="A43" s="484" t="n">
        <v>40</v>
      </c>
      <c r="B43" s="486" t="n"/>
      <c r="C43" s="486" t="n">
        <v>0</v>
      </c>
      <c r="D43" s="1129" t="n">
        <v>0</v>
      </c>
      <c r="E43" s="1130">
        <f>C43*D43</f>
        <v/>
      </c>
      <c r="G43" s="500" t="n"/>
    </row>
    <row r="44" ht="14.4" customHeight="1">
      <c r="A44" s="484" t="n">
        <v>41</v>
      </c>
      <c r="B44" s="486" t="n"/>
      <c r="C44" s="486" t="n">
        <v>0</v>
      </c>
      <c r="D44" s="1129" t="n">
        <v>0</v>
      </c>
      <c r="E44" s="1130">
        <f>C44*D44</f>
        <v/>
      </c>
      <c r="G44" s="500" t="n"/>
    </row>
    <row r="45">
      <c r="A45" s="484" t="n">
        <v>42</v>
      </c>
      <c r="B45" s="486" t="n"/>
      <c r="C45" s="486" t="n">
        <v>0</v>
      </c>
      <c r="D45" s="1129" t="n">
        <v>0</v>
      </c>
      <c r="E45" s="1130">
        <f>C45*D45</f>
        <v/>
      </c>
    </row>
    <row r="46">
      <c r="A46" s="484" t="n">
        <v>43</v>
      </c>
      <c r="B46" s="486" t="n"/>
      <c r="C46" s="486" t="n">
        <v>0</v>
      </c>
      <c r="D46" s="1129" t="n">
        <v>0</v>
      </c>
      <c r="E46" s="1130">
        <f>C46*D46</f>
        <v/>
      </c>
    </row>
    <row r="47">
      <c r="A47" s="484" t="n">
        <v>44</v>
      </c>
      <c r="B47" s="486" t="n"/>
      <c r="C47" s="486" t="n">
        <v>0</v>
      </c>
      <c r="D47" s="1129" t="n">
        <v>0</v>
      </c>
      <c r="E47" s="1130">
        <f>C47*D47</f>
        <v/>
      </c>
    </row>
    <row r="48">
      <c r="A48" s="484" t="n">
        <v>45</v>
      </c>
      <c r="B48" s="486" t="n"/>
      <c r="C48" s="486" t="n">
        <v>0</v>
      </c>
      <c r="D48" s="1129" t="n">
        <v>0</v>
      </c>
      <c r="E48" s="1130">
        <f>C48*D48</f>
        <v/>
      </c>
    </row>
    <row r="49">
      <c r="A49" s="484" t="n">
        <v>46</v>
      </c>
      <c r="B49" s="486" t="n"/>
      <c r="C49" s="486" t="n">
        <v>0</v>
      </c>
      <c r="D49" s="1129" t="n">
        <v>0</v>
      </c>
      <c r="E49" s="1130">
        <f>C49*D49</f>
        <v/>
      </c>
    </row>
    <row r="50">
      <c r="A50" s="484" t="n">
        <v>47</v>
      </c>
      <c r="B50" s="486" t="n"/>
      <c r="C50" s="486" t="n">
        <v>0</v>
      </c>
      <c r="D50" s="1129" t="n">
        <v>0</v>
      </c>
      <c r="E50" s="1130">
        <f>C50*D50</f>
        <v/>
      </c>
    </row>
    <row r="51">
      <c r="A51" s="484" t="n">
        <v>48</v>
      </c>
      <c r="B51" s="486" t="n"/>
      <c r="C51" s="486" t="n">
        <v>0</v>
      </c>
      <c r="D51" s="1129" t="n">
        <v>0</v>
      </c>
      <c r="E51" s="1130" t="n"/>
    </row>
    <row r="52">
      <c r="A52" s="484" t="n">
        <v>49</v>
      </c>
      <c r="B52" s="486" t="n"/>
      <c r="C52" s="486" t="n">
        <v>0</v>
      </c>
      <c r="D52" s="1129" t="n">
        <v>0</v>
      </c>
      <c r="E52" s="1130" t="n"/>
    </row>
    <row r="53">
      <c r="A53" s="484" t="n">
        <v>50</v>
      </c>
      <c r="B53" s="486" t="n"/>
      <c r="C53" s="486" t="n">
        <v>0</v>
      </c>
      <c r="D53" s="1129" t="n">
        <v>0</v>
      </c>
      <c r="E53" s="1130" t="n"/>
    </row>
    <row r="54">
      <c r="A54" s="484" t="n">
        <v>51</v>
      </c>
      <c r="B54" s="486" t="n"/>
      <c r="C54" s="486" t="n">
        <v>0</v>
      </c>
      <c r="D54" s="1129" t="n">
        <v>0</v>
      </c>
      <c r="E54" s="1130" t="n"/>
    </row>
    <row r="55">
      <c r="A55" s="484" t="n">
        <v>52</v>
      </c>
      <c r="B55" s="486" t="n"/>
      <c r="C55" s="486" t="n">
        <v>0</v>
      </c>
      <c r="D55" s="1129" t="n">
        <v>0</v>
      </c>
      <c r="E55" s="1130" t="n"/>
    </row>
    <row r="56">
      <c r="A56" s="484" t="n">
        <v>53</v>
      </c>
      <c r="B56" s="486" t="n"/>
      <c r="C56" s="486" t="n">
        <v>0</v>
      </c>
      <c r="D56" s="1129" t="n">
        <v>0</v>
      </c>
      <c r="E56" s="1130" t="n"/>
    </row>
    <row r="57">
      <c r="A57" s="484" t="n">
        <v>54</v>
      </c>
      <c r="B57" s="486" t="n"/>
      <c r="C57" s="486" t="n">
        <v>0</v>
      </c>
      <c r="D57" s="1129" t="n">
        <v>0</v>
      </c>
      <c r="E57" s="1130" t="n"/>
    </row>
    <row r="58">
      <c r="A58" s="484" t="n">
        <v>55</v>
      </c>
      <c r="B58" s="486" t="n"/>
      <c r="C58" s="486" t="n">
        <v>0</v>
      </c>
      <c r="D58" s="1129" t="n">
        <v>0</v>
      </c>
      <c r="E58" s="1130" t="n"/>
    </row>
    <row r="59">
      <c r="A59" s="484" t="n">
        <v>56</v>
      </c>
      <c r="B59" s="486" t="n"/>
      <c r="C59" s="486" t="n">
        <v>0</v>
      </c>
      <c r="D59" s="1129" t="n">
        <v>0</v>
      </c>
      <c r="E59" s="1130" t="n"/>
    </row>
    <row r="60" ht="26.4" customHeight="1">
      <c r="A60" s="484" t="n">
        <v>57</v>
      </c>
      <c r="B60" s="486" t="n"/>
      <c r="C60" s="486" t="n">
        <v>0</v>
      </c>
      <c r="D60" s="1129" t="n">
        <v>0</v>
      </c>
      <c r="E60" s="1130">
        <f>C60*D60</f>
        <v/>
      </c>
    </row>
    <row r="61">
      <c r="A61" s="484" t="n">
        <v>58</v>
      </c>
      <c r="B61" s="486" t="n"/>
      <c r="C61" s="486" t="n">
        <v>0</v>
      </c>
      <c r="D61" s="1129" t="n">
        <v>0</v>
      </c>
      <c r="E61" s="1130" t="n"/>
    </row>
    <row r="62">
      <c r="A62" s="484" t="n">
        <v>59</v>
      </c>
      <c r="B62" s="486" t="n"/>
      <c r="C62" s="486" t="n">
        <v>0</v>
      </c>
      <c r="D62" s="1129" t="n">
        <v>0</v>
      </c>
      <c r="E62" s="1130" t="n"/>
    </row>
    <row r="63">
      <c r="A63" s="484" t="n">
        <v>60</v>
      </c>
      <c r="B63" s="486" t="n"/>
      <c r="C63" s="486" t="n">
        <v>0</v>
      </c>
      <c r="D63" s="1129" t="n">
        <v>0</v>
      </c>
      <c r="E63" s="1130" t="n"/>
    </row>
    <row r="64">
      <c r="A64" s="484" t="n">
        <v>61</v>
      </c>
      <c r="B64" s="486" t="n"/>
      <c r="C64" s="486" t="n">
        <v>0</v>
      </c>
      <c r="D64" s="1129" t="n">
        <v>0</v>
      </c>
      <c r="E64" s="1130" t="n"/>
    </row>
    <row r="65">
      <c r="A65" s="484" t="n">
        <v>62</v>
      </c>
      <c r="B65" s="486" t="n"/>
      <c r="C65" s="486" t="n">
        <v>0</v>
      </c>
      <c r="D65" s="1129" t="n">
        <v>0</v>
      </c>
      <c r="E65" s="1130" t="n"/>
    </row>
    <row r="66">
      <c r="A66" s="484" t="n">
        <v>63</v>
      </c>
      <c r="B66" s="486" t="n"/>
      <c r="C66" s="486" t="n">
        <v>0</v>
      </c>
      <c r="D66" s="1129" t="n">
        <v>0</v>
      </c>
      <c r="E66" s="1130" t="n"/>
    </row>
    <row r="67">
      <c r="A67" s="484" t="n">
        <v>64</v>
      </c>
      <c r="B67" s="486" t="n"/>
      <c r="C67" s="486" t="n">
        <v>0</v>
      </c>
      <c r="D67" s="1129" t="n">
        <v>0</v>
      </c>
      <c r="E67" s="1130">
        <f>C67*D67</f>
        <v/>
      </c>
    </row>
    <row r="68">
      <c r="A68" s="484" t="n">
        <v>65</v>
      </c>
      <c r="B68" s="486" t="n"/>
      <c r="C68" s="486" t="n">
        <v>0</v>
      </c>
      <c r="D68" s="1129" t="n">
        <v>0</v>
      </c>
      <c r="E68" s="1130" t="n"/>
    </row>
    <row r="69">
      <c r="A69" s="484" t="n">
        <v>66</v>
      </c>
      <c r="B69" s="486" t="n"/>
      <c r="C69" s="486" t="n">
        <v>0</v>
      </c>
      <c r="D69" s="1129" t="n">
        <v>0</v>
      </c>
      <c r="E69" s="1130" t="n"/>
    </row>
    <row r="70">
      <c r="A70" s="484" t="n">
        <v>67</v>
      </c>
      <c r="B70" s="486" t="n"/>
      <c r="C70" s="486" t="n">
        <v>0</v>
      </c>
      <c r="D70" s="1129" t="n">
        <v>0</v>
      </c>
      <c r="E70" s="1130" t="n"/>
    </row>
    <row r="71">
      <c r="A71" s="484" t="n">
        <v>68</v>
      </c>
      <c r="B71" s="486" t="n"/>
      <c r="C71" s="486" t="n">
        <v>0</v>
      </c>
      <c r="D71" s="1129" t="n">
        <v>0</v>
      </c>
      <c r="E71" s="1130" t="n"/>
    </row>
    <row r="72">
      <c r="A72" s="484" t="n">
        <v>72</v>
      </c>
      <c r="B72" s="486" t="n"/>
      <c r="C72" s="486" t="n">
        <v>0</v>
      </c>
      <c r="D72" s="1129" t="n">
        <v>0</v>
      </c>
      <c r="E72" s="1130" t="n"/>
    </row>
    <row r="73">
      <c r="A73" s="484" t="n">
        <v>76</v>
      </c>
      <c r="B73" s="486" t="n"/>
      <c r="C73" s="486" t="n">
        <v>0</v>
      </c>
      <c r="D73" s="1129" t="n">
        <v>0</v>
      </c>
      <c r="E73" s="1130">
        <f>C73*D73</f>
        <v/>
      </c>
    </row>
    <row r="74" ht="26.4" customHeight="1">
      <c r="A74" s="484" t="n">
        <v>77</v>
      </c>
      <c r="B74" s="486" t="n"/>
      <c r="C74" s="486" t="n">
        <v>0</v>
      </c>
      <c r="D74" s="1129" t="n">
        <v>0</v>
      </c>
      <c r="E74" s="1130">
        <f>C74*D74</f>
        <v/>
      </c>
    </row>
    <row r="75">
      <c r="A75" s="484" t="n">
        <v>80</v>
      </c>
      <c r="B75" s="486" t="n"/>
      <c r="C75" s="486" t="n">
        <v>0</v>
      </c>
      <c r="D75" s="1129" t="n">
        <v>0</v>
      </c>
      <c r="E75" s="1130">
        <f>C75*D75</f>
        <v/>
      </c>
    </row>
    <row r="76">
      <c r="A76" s="484" t="n">
        <v>81</v>
      </c>
      <c r="B76" s="486" t="n"/>
      <c r="C76" s="486" t="n">
        <v>0</v>
      </c>
      <c r="D76" s="1129" t="n">
        <v>0</v>
      </c>
      <c r="E76" s="1130">
        <f>C76*D76</f>
        <v/>
      </c>
    </row>
    <row r="77">
      <c r="A77" s="484" t="n">
        <v>82</v>
      </c>
      <c r="B77" s="486" t="n"/>
      <c r="C77" s="486" t="n">
        <v>0</v>
      </c>
      <c r="D77" s="1129" t="n">
        <v>0</v>
      </c>
      <c r="E77" s="1130">
        <f>C77*D77</f>
        <v/>
      </c>
    </row>
    <row r="78">
      <c r="A78" s="484" t="n">
        <v>83</v>
      </c>
      <c r="B78" s="486" t="n"/>
      <c r="C78" s="486" t="n">
        <v>0</v>
      </c>
      <c r="D78" s="1129" t="n">
        <v>0</v>
      </c>
      <c r="E78" s="1130">
        <f>C78*D78</f>
        <v/>
      </c>
    </row>
    <row r="79" ht="39.6" customHeight="1">
      <c r="A79" s="484" t="n">
        <v>84</v>
      </c>
      <c r="B79" s="486" t="n"/>
      <c r="C79" s="486" t="n">
        <v>0</v>
      </c>
      <c r="D79" s="1129" t="n">
        <v>0</v>
      </c>
      <c r="E79" s="1130">
        <f>C79*D79</f>
        <v/>
      </c>
    </row>
    <row r="80">
      <c r="A80" s="484" t="n"/>
      <c r="B80" s="486" t="n"/>
      <c r="C80" s="486" t="n">
        <v>0</v>
      </c>
      <c r="D80" s="1129" t="n">
        <v>0</v>
      </c>
      <c r="E80" s="1130">
        <f>C80*D80</f>
        <v/>
      </c>
    </row>
    <row r="81">
      <c r="A81" s="484" t="n"/>
      <c r="B81" s="486" t="n"/>
      <c r="C81" s="486" t="n">
        <v>0</v>
      </c>
      <c r="D81" s="1129" t="n">
        <v>0</v>
      </c>
      <c r="E81" s="1130">
        <f>C81*D81</f>
        <v/>
      </c>
    </row>
    <row r="82">
      <c r="A82" s="484" t="n"/>
      <c r="B82" s="486" t="n"/>
      <c r="C82" s="486" t="n">
        <v>0</v>
      </c>
      <c r="D82" s="1129" t="n">
        <v>0</v>
      </c>
      <c r="E82" s="1130" t="n"/>
    </row>
    <row r="83">
      <c r="A83" s="484" t="n"/>
      <c r="B83" s="486" t="n"/>
      <c r="C83" s="486" t="n">
        <v>0</v>
      </c>
      <c r="D83" s="1129" t="n">
        <v>0</v>
      </c>
      <c r="E83" s="1130" t="n"/>
    </row>
    <row r="84">
      <c r="A84" s="484" t="n"/>
      <c r="B84" s="486" t="n"/>
      <c r="C84" s="486" t="n">
        <v>0</v>
      </c>
      <c r="D84" s="1129" t="n">
        <v>0</v>
      </c>
      <c r="E84" s="1130">
        <f>C84*D84</f>
        <v/>
      </c>
    </row>
    <row r="85">
      <c r="A85" s="484" t="n"/>
      <c r="B85" s="486" t="n"/>
      <c r="C85" s="486" t="n">
        <v>0</v>
      </c>
      <c r="D85" s="1129" t="n">
        <v>0</v>
      </c>
      <c r="E85" s="1130" t="n"/>
    </row>
    <row r="86">
      <c r="A86" s="484" t="n"/>
      <c r="B86" s="486" t="n"/>
      <c r="C86" s="486" t="n">
        <v>0</v>
      </c>
      <c r="D86" s="1129" t="n">
        <v>0</v>
      </c>
      <c r="E86" s="1130" t="n"/>
    </row>
    <row r="87">
      <c r="A87" s="484" t="n"/>
      <c r="B87" s="486" t="n"/>
      <c r="C87" s="486" t="n">
        <v>0</v>
      </c>
      <c r="D87" s="1129" t="n">
        <v>0</v>
      </c>
      <c r="E87" s="1130" t="n"/>
    </row>
    <row r="88">
      <c r="A88" s="484" t="n"/>
      <c r="B88" s="486" t="n"/>
      <c r="C88" s="486" t="n">
        <v>0</v>
      </c>
      <c r="D88" s="1129" t="n">
        <v>0</v>
      </c>
      <c r="E88" s="1130">
        <f>C88*D88</f>
        <v/>
      </c>
    </row>
    <row r="89" ht="26.4" customHeight="1">
      <c r="A89" s="484" t="n"/>
      <c r="B89" s="486" t="n"/>
      <c r="C89" s="486" t="n">
        <v>0</v>
      </c>
      <c r="D89" s="1131" t="n">
        <v>0</v>
      </c>
      <c r="E89" s="1130">
        <f>C89*D89</f>
        <v/>
      </c>
    </row>
    <row r="90">
      <c r="A90" s="484" t="n"/>
      <c r="B90" s="486" t="n"/>
      <c r="C90" s="486" t="n">
        <v>0</v>
      </c>
      <c r="D90" s="1129" t="n">
        <v>0</v>
      </c>
      <c r="E90" s="1130">
        <f>C90*D90</f>
        <v/>
      </c>
    </row>
    <row r="91">
      <c r="A91" s="484" t="n"/>
      <c r="B91" s="486" t="n"/>
      <c r="C91" s="486" t="n">
        <v>0</v>
      </c>
      <c r="D91" s="1129" t="n">
        <v>0</v>
      </c>
      <c r="E91" s="1130">
        <f>C91*D91</f>
        <v/>
      </c>
    </row>
    <row r="92">
      <c r="A92" s="484" t="n"/>
      <c r="B92" s="486" t="n"/>
      <c r="C92" s="486" t="n">
        <v>0</v>
      </c>
      <c r="D92" s="1129" t="n">
        <v>0</v>
      </c>
      <c r="E92" s="1130">
        <f>C92*D92</f>
        <v/>
      </c>
    </row>
    <row r="93">
      <c r="A93" s="484" t="n"/>
      <c r="B93" s="486" t="n"/>
      <c r="C93" s="486" t="n">
        <v>0</v>
      </c>
      <c r="D93" s="1129" t="n">
        <v>0</v>
      </c>
      <c r="E93" s="1130">
        <f>C93*D93</f>
        <v/>
      </c>
    </row>
    <row r="94">
      <c r="A94" s="484" t="n"/>
      <c r="B94" s="486" t="n"/>
      <c r="C94" s="486" t="n">
        <v>0</v>
      </c>
      <c r="D94" s="1129" t="n">
        <v>0</v>
      </c>
      <c r="E94" s="1130" t="n"/>
    </row>
    <row r="95">
      <c r="A95" s="484" t="n"/>
      <c r="B95" s="486" t="n"/>
      <c r="C95" s="486" t="n">
        <v>0</v>
      </c>
      <c r="D95" s="1129" t="n">
        <v>0</v>
      </c>
      <c r="E95" s="1130" t="n"/>
    </row>
    <row r="96">
      <c r="A96" s="484" t="n"/>
      <c r="B96" s="486" t="n"/>
      <c r="C96" s="486" t="n">
        <v>0</v>
      </c>
      <c r="D96" s="1129" t="n">
        <v>0</v>
      </c>
      <c r="E96" s="1130" t="n"/>
    </row>
    <row r="97">
      <c r="A97" s="484" t="n"/>
      <c r="B97" s="486" t="n"/>
      <c r="C97" s="486" t="n">
        <v>0</v>
      </c>
      <c r="D97" s="1129" t="n">
        <v>0</v>
      </c>
      <c r="E97" s="1130" t="n"/>
    </row>
    <row r="98">
      <c r="A98" s="484" t="n"/>
      <c r="B98" s="486" t="n"/>
      <c r="C98" s="486" t="n">
        <v>0</v>
      </c>
      <c r="D98" s="1129" t="n">
        <v>0</v>
      </c>
      <c r="E98" s="1130" t="n"/>
    </row>
    <row r="99">
      <c r="A99" s="484" t="n"/>
      <c r="B99" s="486" t="n"/>
      <c r="C99" s="486" t="n">
        <v>0</v>
      </c>
      <c r="D99" s="1129" t="n">
        <v>0</v>
      </c>
      <c r="E99" s="1130" t="n"/>
    </row>
    <row r="100">
      <c r="A100" s="484" t="n"/>
      <c r="B100" s="486" t="n"/>
      <c r="C100" s="486" t="n">
        <v>0</v>
      </c>
      <c r="D100" s="1129" t="n">
        <v>0</v>
      </c>
      <c r="E100" s="1130" t="n"/>
    </row>
    <row r="101">
      <c r="A101" s="484" t="n"/>
      <c r="B101" s="486" t="n"/>
      <c r="C101" s="486" t="n">
        <v>0</v>
      </c>
      <c r="D101" s="1129" t="n">
        <v>0</v>
      </c>
      <c r="E101" s="1130" t="n"/>
    </row>
    <row r="102">
      <c r="A102" s="484" t="n"/>
      <c r="B102" s="486" t="n"/>
      <c r="C102" s="486" t="n">
        <v>0</v>
      </c>
      <c r="D102" s="1129" t="n">
        <v>0</v>
      </c>
      <c r="E102" s="1130" t="n"/>
    </row>
    <row r="103">
      <c r="A103" s="484" t="n"/>
      <c r="B103" s="486" t="n"/>
      <c r="C103" s="486" t="n">
        <v>0</v>
      </c>
      <c r="D103" s="1129" t="n">
        <v>0</v>
      </c>
      <c r="E103" s="1130" t="n"/>
    </row>
    <row r="104">
      <c r="A104" s="484" t="n"/>
      <c r="B104" s="486" t="n"/>
      <c r="C104" s="486" t="n">
        <v>0</v>
      </c>
      <c r="D104" s="1129" t="n">
        <v>0</v>
      </c>
      <c r="E104" s="1130" t="n"/>
    </row>
    <row r="105">
      <c r="A105" s="484" t="n"/>
      <c r="B105" s="486" t="n"/>
      <c r="C105" s="486" t="n">
        <v>0</v>
      </c>
      <c r="D105" s="1129" t="n">
        <v>0</v>
      </c>
      <c r="E105" s="1130" t="n"/>
    </row>
    <row r="106">
      <c r="A106" s="484" t="n"/>
      <c r="B106" s="486" t="n"/>
      <c r="C106" s="486" t="n">
        <v>0</v>
      </c>
      <c r="D106" s="1129" t="n">
        <v>0</v>
      </c>
      <c r="E106" s="1130" t="n"/>
    </row>
    <row r="107">
      <c r="A107" s="484" t="n"/>
      <c r="B107" s="486" t="n"/>
      <c r="C107" s="486" t="n">
        <v>0</v>
      </c>
      <c r="D107" s="1129" t="n">
        <v>0</v>
      </c>
      <c r="E107" s="1130" t="n"/>
    </row>
    <row r="108">
      <c r="A108" s="484" t="n"/>
      <c r="B108" s="486" t="n"/>
      <c r="C108" s="486" t="n">
        <v>0</v>
      </c>
      <c r="D108" s="1129" t="n">
        <v>0</v>
      </c>
      <c r="E108" s="1130" t="n"/>
    </row>
    <row r="109">
      <c r="A109" s="484" t="n"/>
      <c r="B109" s="486" t="n"/>
      <c r="C109" s="486" t="n">
        <v>0</v>
      </c>
      <c r="D109" s="1129" t="n">
        <v>0</v>
      </c>
      <c r="E109" s="1130" t="n"/>
    </row>
    <row r="110">
      <c r="A110" s="484" t="n"/>
      <c r="B110" s="486" t="n"/>
      <c r="C110" s="486" t="n">
        <v>0</v>
      </c>
      <c r="D110" s="1129" t="n">
        <v>0</v>
      </c>
      <c r="E110" s="1130" t="n"/>
    </row>
    <row r="111">
      <c r="A111" s="484" t="n"/>
      <c r="B111" s="486" t="n"/>
      <c r="C111" s="486" t="n">
        <v>0</v>
      </c>
      <c r="D111" s="1129" t="n">
        <v>0</v>
      </c>
      <c r="E111" s="1130" t="n"/>
    </row>
    <row r="112">
      <c r="A112" s="484" t="n"/>
      <c r="B112" s="486" t="n"/>
      <c r="C112" s="486" t="n">
        <v>0</v>
      </c>
      <c r="D112" s="1129" t="n">
        <v>0</v>
      </c>
      <c r="E112" s="1130" t="n"/>
    </row>
    <row r="113">
      <c r="A113" s="484" t="n"/>
      <c r="B113" s="486" t="n"/>
      <c r="C113" s="486" t="n">
        <v>0</v>
      </c>
      <c r="D113" s="1129" t="n">
        <v>0</v>
      </c>
      <c r="E113" s="1130" t="n"/>
    </row>
    <row r="114">
      <c r="A114" s="484" t="n"/>
      <c r="B114" s="486" t="n"/>
      <c r="C114" s="486" t="n">
        <v>0</v>
      </c>
      <c r="D114" s="1129" t="n">
        <v>0</v>
      </c>
      <c r="E114" s="1130" t="n"/>
    </row>
    <row r="115">
      <c r="A115" s="484" t="n"/>
      <c r="B115" s="486" t="n"/>
      <c r="C115" s="486" t="n">
        <v>0</v>
      </c>
      <c r="D115" s="1129" t="n">
        <v>0</v>
      </c>
      <c r="E115" s="1130" t="n"/>
    </row>
    <row r="116">
      <c r="A116" s="484" t="n"/>
      <c r="B116" s="486" t="n"/>
      <c r="C116" s="486" t="n">
        <v>0</v>
      </c>
      <c r="D116" s="1129" t="n">
        <v>0</v>
      </c>
      <c r="E116" s="1130" t="n"/>
    </row>
    <row r="117">
      <c r="A117" s="484" t="n"/>
      <c r="B117" s="486" t="n"/>
      <c r="C117" s="486" t="n">
        <v>0</v>
      </c>
      <c r="D117" s="1129" t="n">
        <v>0</v>
      </c>
      <c r="E117" s="1130" t="n"/>
    </row>
    <row r="118">
      <c r="A118" s="484" t="n"/>
      <c r="B118" s="486" t="n"/>
      <c r="C118" s="486" t="n">
        <v>0</v>
      </c>
      <c r="D118" s="1129" t="n">
        <v>0</v>
      </c>
      <c r="E118" s="1130" t="n"/>
    </row>
    <row r="119">
      <c r="A119" s="484" t="n"/>
      <c r="B119" s="486" t="n"/>
      <c r="C119" s="486" t="n">
        <v>0</v>
      </c>
      <c r="D119" s="1129" t="n">
        <v>0</v>
      </c>
      <c r="E119" s="1130" t="n"/>
    </row>
    <row r="120">
      <c r="A120" s="484" t="n"/>
      <c r="B120" s="486" t="n"/>
      <c r="C120" s="486" t="n">
        <v>0</v>
      </c>
      <c r="D120" s="1129" t="n">
        <v>0</v>
      </c>
      <c r="E120" s="1130" t="n"/>
    </row>
    <row r="121">
      <c r="A121" s="484" t="n"/>
      <c r="B121" s="486" t="n"/>
      <c r="C121" s="486" t="n">
        <v>0</v>
      </c>
      <c r="D121" s="1129" t="n">
        <v>0</v>
      </c>
      <c r="E121" s="1130" t="n"/>
    </row>
    <row r="122">
      <c r="A122" s="484" t="n"/>
      <c r="B122" s="486" t="n"/>
      <c r="C122" s="486" t="n">
        <v>0</v>
      </c>
      <c r="D122" s="1129" t="n">
        <v>0</v>
      </c>
      <c r="E122" s="1130" t="n"/>
    </row>
    <row r="123">
      <c r="A123" s="484" t="n"/>
      <c r="B123" s="486" t="n"/>
      <c r="C123" s="486" t="n">
        <v>0</v>
      </c>
      <c r="D123" s="1129" t="n">
        <v>0</v>
      </c>
      <c r="E123" s="1130">
        <f>C123*D123</f>
        <v/>
      </c>
    </row>
    <row r="124">
      <c r="A124" s="484" t="n"/>
      <c r="B124" s="486" t="n"/>
      <c r="C124" s="486" t="n">
        <v>0</v>
      </c>
      <c r="D124" s="1129" t="n">
        <v>0</v>
      </c>
      <c r="E124" s="1130">
        <f>C124*D124</f>
        <v/>
      </c>
    </row>
    <row r="125">
      <c r="A125" s="484" t="n"/>
      <c r="B125" s="486" t="n"/>
      <c r="C125" s="486" t="n">
        <v>0</v>
      </c>
      <c r="D125" s="1129" t="n">
        <v>0</v>
      </c>
      <c r="E125" s="1130">
        <f>C125*D125</f>
        <v/>
      </c>
    </row>
    <row r="126">
      <c r="E126" s="1132">
        <f>SUM(E4:E125)</f>
        <v/>
      </c>
    </row>
  </sheetData>
  <pageMargins left="0.2" right="0.21" top="0.17" bottom="0.18" header="0.28" footer="0"/>
  <pageSetup orientation="portrait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IMA S.I. Argentina S.A.</dc:creator>
  <dcterms:created xmlns:dcterms="http://purl.org/dc/terms/" xmlns:xsi="http://www.w3.org/2001/XMLSchema-instance" xsi:type="dcterms:W3CDTF">2000-06-20T19:18:58Z</dcterms:created>
  <dcterms:modified xmlns:dcterms="http://purl.org/dc/terms/" xmlns:xsi="http://www.w3.org/2001/XMLSchema-instance" xsi:type="dcterms:W3CDTF">2026-09-21T17:12:35Z</dcterms:modified>
  <cp:lastModifiedBy>Sebastien Martinet (IMA Argentina - Holdas Latam)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0x01010018ED3DDA1174714AA8A0ADD53719743E</vt:lpwstr>
  </property>
</Properties>
</file>