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tps://imasi.sharepoint.com/sites/EstudioPropuestas2026/Documentos compartidos/1340-PAMPA-OBRAS CIVILES MENORES/00-ET/Inicial-1340/PAMPA_Obras_Civiles_Menores/"/>
    </mc:Choice>
  </mc:AlternateContent>
  <xr:revisionPtr revIDLastSave="12" documentId="13_ncr:1_{F0276CAB-062B-48B0-B7D3-C9408C2E907B}" xr6:coauthVersionLast="47" xr6:coauthVersionMax="47" xr10:uidLastSave="{394CC652-030A-446B-81FC-EC51F02686F1}"/>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Print_Area" localSheetId="0">Sheet1!$A$1:$F$121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0" i="1"/>
  <c r="F11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Ortiz Tomas Ignacio</author>
  </authors>
  <commentList>
    <comment ref="F114" authorId="0" shapeId="0" xr:uid="{00000000-0006-0000-0000-000001000000}">
      <text>
        <r>
          <rPr>
            <b/>
            <sz val="9"/>
            <color indexed="81"/>
            <rFont val="Tahoma"/>
            <family val="2"/>
          </rPr>
          <t>Monto total a detallar en casillero "PRECIO" en Ariba</t>
        </r>
        <r>
          <rPr>
            <sz val="9"/>
            <color indexed="81"/>
            <rFont val="Tahoma"/>
            <family val="2"/>
          </rPr>
          <t xml:space="preserve">
</t>
        </r>
      </text>
    </comment>
  </commentList>
</comments>
</file>

<file path=xl/sharedStrings.xml><?xml version="1.0" encoding="utf-8"?>
<sst xmlns="http://schemas.openxmlformats.org/spreadsheetml/2006/main" count="230" uniqueCount="129">
  <si>
    <t>Planilla de Cotización</t>
  </si>
  <si>
    <t>Concurso privado precios: Servicios obras civiles menores planta Puerto General San Martín, PAMPA ENERGÍA</t>
  </si>
  <si>
    <t>N° Oportunidad:</t>
  </si>
  <si>
    <t xml:space="preserve">Proveedor:    </t>
  </si>
  <si>
    <t>CUIT:</t>
  </si>
  <si>
    <t>COTIZACIÓN SERVICIOS OBRAS CIVILES MENORES PGSM</t>
  </si>
  <si>
    <t>ITEM</t>
  </si>
  <si>
    <t>Unidad medida</t>
  </si>
  <si>
    <t>DESCRIPCIÓN</t>
  </si>
  <si>
    <t>Cantidad ESTIMADA 2 años</t>
  </si>
  <si>
    <t>Precio Unitario ARS</t>
  </si>
  <si>
    <t xml:space="preserve">Precio Total </t>
  </si>
  <si>
    <t>UN</t>
  </si>
  <si>
    <t xml:space="preserve">Apertura cerradura seguridad Kallay </t>
  </si>
  <si>
    <t xml:space="preserve">Cambio cerradura antipanico </t>
  </si>
  <si>
    <t xml:space="preserve">Cambio combinacion cerradura con 2 llaves </t>
  </si>
  <si>
    <t xml:space="preserve">Cambio de abertura LINEA MODENA </t>
  </si>
  <si>
    <t xml:space="preserve">Cambio de cuero y o´ring </t>
  </si>
  <si>
    <t xml:space="preserve">Cambio de flexible </t>
  </si>
  <si>
    <t xml:space="preserve">Cambio de flor de ducha </t>
  </si>
  <si>
    <t>Cambio de mediocuerpo de ducha segun modelo  FV/Aqualaf</t>
  </si>
  <si>
    <t xml:space="preserve">Cambio de sifon de bacha </t>
  </si>
  <si>
    <t xml:space="preserve">Cambio de sopapa (bidet, lavatorio, bacha) </t>
  </si>
  <si>
    <t>Cambio juego griferia baño FV Pampa cromo/Aqualaf</t>
  </si>
  <si>
    <t xml:space="preserve">Cambio llaves mezcladoras exteriores </t>
  </si>
  <si>
    <t>ml</t>
  </si>
  <si>
    <t xml:space="preserve">Cambio tramo cañeria &gt;1" a 3" empotrada </t>
  </si>
  <si>
    <t xml:space="preserve">Cambio tramo cañeria &gt;1" a 3" exterior </t>
  </si>
  <si>
    <t xml:space="preserve">Cambio tramo cañeria hasta 1" empotrada </t>
  </si>
  <si>
    <t xml:space="preserve">Cambio tramo cañeria hasta 1" enterrada </t>
  </si>
  <si>
    <t>m2</t>
  </si>
  <si>
    <t xml:space="preserve">Cambio tramo cañeria hasta 1" exterior </t>
  </si>
  <si>
    <t xml:space="preserve">Carpeta de cemento espesor 2cm x m2 </t>
  </si>
  <si>
    <t xml:space="preserve">Cierlorraso durlock junta tomada </t>
  </si>
  <si>
    <t xml:space="preserve">Colocacion carteleria </t>
  </si>
  <si>
    <t xml:space="preserve">Colocacion dispenser toallitas / jabon liquido </t>
  </si>
  <si>
    <t xml:space="preserve">Colocacion revestimiento en paredes x m2 </t>
  </si>
  <si>
    <t>Colocacion termotanque electrico con equipo, Saiar o Rhenn electrico de 125 litros</t>
  </si>
  <si>
    <t xml:space="preserve">Construccion cielorrasos Spanoacustic </t>
  </si>
  <si>
    <t xml:space="preserve">Construcción piso H° A° x m3 </t>
  </si>
  <si>
    <t xml:space="preserve">Contrapiso 0,10 mts de espesor x m2 </t>
  </si>
  <si>
    <t xml:space="preserve">Cortina pvc para ducha con barral </t>
  </si>
  <si>
    <t xml:space="preserve">Destapado caja sifonada de piso / bacha </t>
  </si>
  <si>
    <t xml:space="preserve">Destapado de bacha de cocina (sifon) </t>
  </si>
  <si>
    <t xml:space="preserve">Destapado y limpieza de camara inspeccion </t>
  </si>
  <si>
    <t xml:space="preserve">Destapado y limpieza de camara septica </t>
  </si>
  <si>
    <t xml:space="preserve">Destape inodoro con retiro del mismo </t>
  </si>
  <si>
    <t xml:space="preserve">Destape inodoro sin retiro del mismo </t>
  </si>
  <si>
    <t xml:space="preserve">Encadenado Hº Aº 0,20 x 0,20 x ml </t>
  </si>
  <si>
    <t xml:space="preserve">Espejo x m2 </t>
  </si>
  <si>
    <t>m3</t>
  </si>
  <si>
    <t>Excavacion manual x m3</t>
  </si>
  <si>
    <t>Fee de compras (detallar % aplicable)</t>
  </si>
  <si>
    <t xml:space="preserve">Horas hombre carpintero </t>
  </si>
  <si>
    <t xml:space="preserve">Instalacion / cambio de mochila de plastico </t>
  </si>
  <si>
    <t xml:space="preserve">Instalacion de inobidet </t>
  </si>
  <si>
    <t xml:space="preserve">Instalacion de lavatorio / inodoro / bidet </t>
  </si>
  <si>
    <t xml:space="preserve">Mano de obra Ayudante x hs. </t>
  </si>
  <si>
    <t xml:space="preserve">Mano de obra Oficial x Hs. </t>
  </si>
  <si>
    <t xml:space="preserve">Pared block 0,20 x 0,20 x 0,40 x m2 </t>
  </si>
  <si>
    <t xml:space="preserve">Pared ceramico 0,12 x 0,18 x 0,33 x m2 </t>
  </si>
  <si>
    <t xml:space="preserve">Pared ceramicos 0,8 x 0,18 x 0,33 x m2 </t>
  </si>
  <si>
    <t xml:space="preserve">Pared comunes espesor 0,15mts x m2 </t>
  </si>
  <si>
    <t xml:space="preserve">Pared comunes espesor 0,30mts x m2 </t>
  </si>
  <si>
    <t xml:space="preserve">Picaporte metalico biselado </t>
  </si>
  <si>
    <t xml:space="preserve">Pintura aberturas de 1 hoja </t>
  </si>
  <si>
    <t xml:space="preserve">Pintura cañeria 2" epoxi x metro lineal </t>
  </si>
  <si>
    <t xml:space="preserve">Pintura de sendas peatonal ALBA Vial </t>
  </si>
  <si>
    <t xml:space="preserve">Pintura paredes / cielorraso x m2 </t>
  </si>
  <si>
    <t xml:space="preserve">Pintura piso epoxi </t>
  </si>
  <si>
    <t xml:space="preserve">Prov copia llave computada </t>
  </si>
  <si>
    <t xml:space="preserve">Prov copia llave comun/segur/escritorio </t>
  </si>
  <si>
    <t xml:space="preserve">Prov y coloc bisagras / picaporte </t>
  </si>
  <si>
    <t xml:space="preserve">Prov y coloc cerrad antipan + llaves </t>
  </si>
  <si>
    <t xml:space="preserve">Prov y coloc cerrad escritorio + llaves </t>
  </si>
  <si>
    <t xml:space="preserve">Prov y coloc cerrad seguridad pomo </t>
  </si>
  <si>
    <t xml:space="preserve">Prov y coloc pasador </t>
  </si>
  <si>
    <t xml:space="preserve">Prov y coloc picaporte tipo Ministerio </t>
  </si>
  <si>
    <t xml:space="preserve">Prov y coloc portacandado </t>
  </si>
  <si>
    <t xml:space="preserve">Prov y coloc Puerta Hidraul Resorte Nº 3 </t>
  </si>
  <si>
    <t xml:space="preserve">Prov y coloc Puerta Hidraul Resorte Nº2 </t>
  </si>
  <si>
    <t xml:space="preserve">Prov. y coloc de chapa acanalada por metro lineal </t>
  </si>
  <si>
    <t xml:space="preserve">Prov. y coloc de membrana geotextil x mts2 </t>
  </si>
  <si>
    <t xml:space="preserve">Prov. y coloc de tapa de inodoro (madera laqueada) </t>
  </si>
  <si>
    <t xml:space="preserve">Provision suelo seleccionado x m3 </t>
  </si>
  <si>
    <t xml:space="preserve">Provision y coloc de cerradura doble paleta </t>
  </si>
  <si>
    <t xml:space="preserve">Provision y coloc de cortina black out x mts2 </t>
  </si>
  <si>
    <t xml:space="preserve">Provision y colocac de porcelanato x m2 </t>
  </si>
  <si>
    <t xml:space="preserve">Provision y colocacion de persiana americana </t>
  </si>
  <si>
    <t>Provision y colocacion de tejido romboidal .</t>
  </si>
  <si>
    <t>Provision y colocacion de TK de agua 500 l .</t>
  </si>
  <si>
    <t xml:space="preserve">Provision y colocacion piso de goma x m2 </t>
  </si>
  <si>
    <t xml:space="preserve">Provision y colocacion piso plastico 30x30x2mm </t>
  </si>
  <si>
    <t xml:space="preserve">Provision y colocacion pisos ceramicos x m2 </t>
  </si>
  <si>
    <t xml:space="preserve">Provision y colocacion pisos de mosaicos x m2 </t>
  </si>
  <si>
    <t xml:space="preserve">Pulsadores de megitorio marca FV </t>
  </si>
  <si>
    <t xml:space="preserve">Realizacion copia de llave </t>
  </si>
  <si>
    <t xml:space="preserve">Relleno y compactación con suelo seleccionado x m3 </t>
  </si>
  <si>
    <t xml:space="preserve">Remocion construcciones x m2 </t>
  </si>
  <si>
    <t xml:space="preserve">Rep techo chapa c/impermeabilizante x m2 </t>
  </si>
  <si>
    <t xml:space="preserve">Rep techo chapa c/membrana 4 mm x m2 </t>
  </si>
  <si>
    <t>Rep techo impermeabilizante plano x m2 con pintura de membrana</t>
  </si>
  <si>
    <t xml:space="preserve">Rep techo membrana asfaltica 4 mm x m2 </t>
  </si>
  <si>
    <t xml:space="preserve">Rep. y cambio cerrad escritorio </t>
  </si>
  <si>
    <t xml:space="preserve">Reparac. Puerta Hidraul Resorte Nº 4 </t>
  </si>
  <si>
    <t xml:space="preserve">Reparacion bisagras de puerta </t>
  </si>
  <si>
    <t xml:space="preserve">Reparacion cerradura </t>
  </si>
  <si>
    <t xml:space="preserve">Reparacion cerradura antipanico </t>
  </si>
  <si>
    <t xml:space="preserve">Reparacion de cocina, horno </t>
  </si>
  <si>
    <t xml:space="preserve">Reparacion de mochila deposito </t>
  </si>
  <si>
    <t xml:space="preserve">Reparacion extractor eolico </t>
  </si>
  <si>
    <t xml:space="preserve">Reparacion tejido romboidal </t>
  </si>
  <si>
    <t xml:space="preserve">Revoque grueso x m2 </t>
  </si>
  <si>
    <t xml:space="preserve">Revoques bajo revestimiento / fino x m2 </t>
  </si>
  <si>
    <t xml:space="preserve">Soldadura Hidrobronz de 1/2" a 1" </t>
  </si>
  <si>
    <t xml:space="preserve">Tapa de inodoro reforzada plastica </t>
  </si>
  <si>
    <t xml:space="preserve">Vidrio Blisan 3+3 tonalizado x m2 </t>
  </si>
  <si>
    <t xml:space="preserve">Vidrio Blisan 3+3 transparente x m2 </t>
  </si>
  <si>
    <t xml:space="preserve">Vidrio liso transparente 4 mm x m2 </t>
  </si>
  <si>
    <t xml:space="preserve">Vidrio liso transparente 6mm x m2 </t>
  </si>
  <si>
    <t>Total Oferta</t>
  </si>
  <si>
    <t>Valor CCT Uocra 76/75 Nacional Cat. Oficial - ZONA A adoptado para cotizar</t>
  </si>
  <si>
    <t>DETALLAR</t>
  </si>
  <si>
    <t xml:space="preserve">Valor índice CAC Materiales adoptado para cotizar </t>
  </si>
  <si>
    <t xml:space="preserve">ACLARACIÓN: Para la cotización se deberá tener en cuenta el acuerdo UOCRA regional San Lorenzo para todos los trabajadores que realicen tareas dentro de los complejos que posee Pampa Energía en PGSM </t>
  </si>
  <si>
    <t>Las cantidades detalladas son ESTIMATIVAS al efecto de la cotización. Las mismas no implican obligación de compra.</t>
  </si>
  <si>
    <t xml:space="preserve">El Oferente deberá completar la Columna "Precio Unitario"  sin IVA. </t>
  </si>
  <si>
    <t xml:space="preserve">Al finalizar la carga deberá ajduntar planilla en portal Ariba, presentando oferta técnica (sin precios) + económica </t>
  </si>
  <si>
    <t>(adjuntando la presente planilla) por separado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</si>
</sst>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ARS]\ #,##0.00"/>
    <numFmt numFmtId="166" formatCode="[$ARS]\ #,##0.00;[$ARS]\ \-#,##0.00"/>
  </numFmts>
  <fonts count="17" x14ac:knownFonts="1">
    <font>
      <sz val="10"/>
      <name val="Arial"/>
    </font>
    <font>
      <sz val="10"/>
      <name val="Arial"/>
      <family val="2"/>
    </font>
    <font>
      <sz val="10"/>
      <name val="Calibri"/>
      <family val="2"/>
      <scheme val="minor"/>
    </font>
    <font>
      <b/>
      <sz val="10"/>
      <name val="Calibri"/>
      <family val="2"/>
      <scheme val="minor"/>
    </font>
    <font>
      <b/>
      <sz val="10"/>
      <color indexed="9"/>
      <name val="Calibri"/>
      <family val="2"/>
      <scheme val="minor"/>
    </font>
    <font>
      <sz val="10"/>
      <color indexed="9"/>
      <name val="Calibri"/>
      <family val="2"/>
      <scheme val="minor"/>
    </font>
    <font>
      <b/>
      <sz val="12"/>
      <name val="Calibri"/>
      <family val="2"/>
      <scheme val="minor"/>
    </font>
    <font>
      <sz val="11"/>
      <name val="Calibri"/>
      <family val="2"/>
      <scheme val="minor"/>
    </font>
    <font>
      <sz val="18"/>
      <color indexed="9"/>
      <name val="Calibri"/>
      <family val="2"/>
      <scheme val="minor"/>
    </font>
    <font>
      <b/>
      <sz val="20"/>
      <name val="Calibri"/>
      <family val="2"/>
      <scheme val="minor"/>
    </font>
    <font>
      <sz val="10"/>
      <color rgb="FF000000"/>
      <name val="Arial"/>
      <family val="2"/>
    </font>
    <font>
      <u/>
      <sz val="11"/>
      <color rgb="FF0563C1"/>
      <name val="Calibri"/>
      <family val="2"/>
      <scheme val="minor"/>
    </font>
    <font>
      <sz val="9"/>
      <color indexed="81"/>
      <name val="Tahoma"/>
      <family val="2"/>
    </font>
    <font>
      <b/>
      <sz val="9"/>
      <color indexed="81"/>
      <name val="Tahoma"/>
      <family val="2"/>
    </font>
    <font>
      <sz val="10"/>
      <name val="Arial"/>
      <family val="2"/>
    </font>
    <font>
      <b/>
      <sz val="11"/>
      <name val="Calibri"/>
      <family val="2"/>
      <scheme val="minor"/>
    </font>
    <font>
      <b/>
      <sz val="10"/>
      <name val="Arial"/>
      <family val="2"/>
    </font>
  </fonts>
  <fills count="6">
    <fill>
      <patternFill patternType="none"/>
    </fill>
    <fill>
      <patternFill patternType="gray125"/>
    </fill>
    <fill>
      <patternFill patternType="solid">
        <fgColor indexed="62"/>
        <bgColor indexed="64"/>
      </patternFill>
    </fill>
    <fill>
      <patternFill patternType="solid">
        <fgColor rgb="FFFFFF66"/>
        <bgColor indexed="64"/>
      </patternFill>
    </fill>
    <fill>
      <patternFill patternType="solid">
        <fgColor theme="9" tint="0.59999389629810485"/>
        <bgColor indexed="64"/>
      </patternFill>
    </fill>
    <fill>
      <patternFill patternType="solid">
        <fgColor rgb="FFFFFF00"/>
        <bgColor indexed="64"/>
      </patternFill>
    </fill>
  </fills>
  <borders count="21">
    <border>
      <left/>
      <right/>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medium">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11" fillId="0" borderId="0" applyNumberFormat="0" applyFill="0" applyBorder="0" applyAlignment="0" applyProtection="0"/>
    <xf numFmtId="9" fontId="14" fillId="0" borderId="0" applyFont="0" applyFill="0" applyBorder="0" applyAlignment="0" applyProtection="0"/>
  </cellStyleXfs>
  <cellXfs count="53">
    <xf numFmtId="0" fontId="0" fillId="0" borderId="0" xfId="0"/>
    <xf numFmtId="0" fontId="2" fillId="0" borderId="1" xfId="0" applyFont="1" applyBorder="1"/>
    <xf numFmtId="0" fontId="2"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1" xfId="0" applyFont="1" applyBorder="1"/>
    <xf numFmtId="0" fontId="3" fillId="0" borderId="2" xfId="0" applyFont="1" applyBorder="1"/>
    <xf numFmtId="0" fontId="3" fillId="0" borderId="6" xfId="0" applyFont="1" applyBorder="1"/>
    <xf numFmtId="0" fontId="3" fillId="0" borderId="7" xfId="0" applyFont="1" applyBorder="1"/>
    <xf numFmtId="0" fontId="3" fillId="0" borderId="8" xfId="0" applyFont="1" applyBorder="1"/>
    <xf numFmtId="0" fontId="2" fillId="0" borderId="10" xfId="0" applyFont="1" applyBorder="1"/>
    <xf numFmtId="0" fontId="2" fillId="0" borderId="11" xfId="0" applyFont="1" applyBorder="1"/>
    <xf numFmtId="0" fontId="2" fillId="0" borderId="12" xfId="0" applyFont="1" applyBorder="1"/>
    <xf numFmtId="0" fontId="6" fillId="0" borderId="4" xfId="0" applyFont="1" applyBorder="1"/>
    <xf numFmtId="0" fontId="0" fillId="0" borderId="0" xfId="0" applyAlignment="1">
      <alignment horizontal="center" vertical="center" wrapText="1"/>
    </xf>
    <xf numFmtId="0" fontId="4" fillId="2" borderId="9" xfId="0" applyFont="1" applyFill="1" applyBorder="1" applyAlignment="1">
      <alignment horizontal="center" vertical="center" wrapText="1"/>
    </xf>
    <xf numFmtId="0" fontId="1" fillId="0" borderId="9" xfId="2" applyBorder="1" applyAlignment="1">
      <alignment horizontal="center"/>
    </xf>
    <xf numFmtId="0" fontId="1" fillId="0" borderId="9" xfId="2" applyBorder="1"/>
    <xf numFmtId="0" fontId="10" fillId="0" borderId="9" xfId="0" applyFont="1" applyBorder="1" applyAlignment="1">
      <alignment horizontal="center"/>
    </xf>
    <xf numFmtId="0" fontId="1" fillId="0" borderId="9" xfId="2" applyBorder="1" applyAlignment="1">
      <alignment horizontal="left" vertical="center" wrapText="1"/>
    </xf>
    <xf numFmtId="0" fontId="10" fillId="0" borderId="9" xfId="0" applyFont="1" applyBorder="1"/>
    <xf numFmtId="0" fontId="1" fillId="0" borderId="9" xfId="3" applyFont="1" applyFill="1" applyBorder="1"/>
    <xf numFmtId="166" fontId="6" fillId="0" borderId="13" xfId="1" applyNumberFormat="1" applyFont="1" applyBorder="1"/>
    <xf numFmtId="165" fontId="10" fillId="0" borderId="9" xfId="0" applyNumberFormat="1" applyFont="1" applyBorder="1" applyAlignment="1">
      <alignment horizontal="center"/>
    </xf>
    <xf numFmtId="0" fontId="3" fillId="0" borderId="0" xfId="0" applyFont="1"/>
    <xf numFmtId="0" fontId="2" fillId="0" borderId="0" xfId="0" applyFont="1"/>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1" fillId="0" borderId="17" xfId="2" applyBorder="1" applyAlignment="1">
      <alignment horizontal="center"/>
    </xf>
    <xf numFmtId="166" fontId="7" fillId="0" borderId="18" xfId="1" applyNumberFormat="1" applyFont="1" applyFill="1" applyBorder="1" applyAlignment="1">
      <alignment horizontal="center" vertical="center"/>
    </xf>
    <xf numFmtId="0" fontId="10" fillId="0" borderId="17" xfId="0" applyFont="1" applyBorder="1" applyAlignment="1">
      <alignment horizontal="center"/>
    </xf>
    <xf numFmtId="0" fontId="4" fillId="2" borderId="0" xfId="0" applyFont="1" applyFill="1"/>
    <xf numFmtId="0" fontId="5" fillId="2" borderId="0" xfId="0" applyFont="1" applyFill="1"/>
    <xf numFmtId="10" fontId="10" fillId="0" borderId="9" xfId="4" applyNumberFormat="1" applyFont="1" applyBorder="1" applyAlignment="1">
      <alignment horizontal="center"/>
    </xf>
    <xf numFmtId="0" fontId="16" fillId="0" borderId="9" xfId="2" applyFont="1" applyBorder="1"/>
    <xf numFmtId="0" fontId="3" fillId="4" borderId="19" xfId="0" applyFont="1" applyFill="1" applyBorder="1" applyAlignment="1">
      <alignment horizontal="right" wrapText="1"/>
    </xf>
    <xf numFmtId="0" fontId="2" fillId="4" borderId="4" xfId="0" applyFont="1" applyFill="1" applyBorder="1"/>
    <xf numFmtId="166" fontId="7" fillId="4" borderId="9" xfId="1" applyNumberFormat="1" applyFont="1" applyFill="1" applyBorder="1" applyAlignment="1">
      <alignment horizontal="center" vertical="center"/>
    </xf>
    <xf numFmtId="0" fontId="3" fillId="4" borderId="20" xfId="0" applyFont="1" applyFill="1" applyBorder="1" applyAlignment="1">
      <alignment horizontal="right"/>
    </xf>
    <xf numFmtId="0" fontId="2" fillId="4" borderId="7" xfId="0" applyFont="1" applyFill="1" applyBorder="1"/>
    <xf numFmtId="0" fontId="15" fillId="5" borderId="2" xfId="0" applyFont="1" applyFill="1" applyBorder="1"/>
    <xf numFmtId="0" fontId="15" fillId="5" borderId="0" xfId="0" applyFont="1" applyFill="1" applyAlignment="1">
      <alignment wrapText="1"/>
    </xf>
    <xf numFmtId="0" fontId="15" fillId="5" borderId="0" xfId="0" applyFont="1" applyFill="1"/>
    <xf numFmtId="0" fontId="8" fillId="2" borderId="14"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16" xfId="0" applyFont="1" applyFill="1" applyBorder="1" applyAlignment="1">
      <alignment horizontal="center" vertical="center"/>
    </xf>
    <xf numFmtId="0" fontId="9" fillId="3" borderId="1" xfId="0" applyFont="1" applyFill="1" applyBorder="1" applyAlignment="1">
      <alignment horizontal="center"/>
    </xf>
    <xf numFmtId="0" fontId="9" fillId="3" borderId="0" xfId="0" applyFont="1" applyFill="1" applyAlignment="1">
      <alignment horizontal="center"/>
    </xf>
    <xf numFmtId="0" fontId="9" fillId="3" borderId="2" xfId="0" applyFont="1" applyFill="1" applyBorder="1" applyAlignment="1">
      <alignment horizontal="center"/>
    </xf>
    <xf numFmtId="0" fontId="15" fillId="5" borderId="4" xfId="0" applyFont="1" applyFill="1" applyBorder="1" applyAlignment="1">
      <alignment horizontal="left" wrapText="1"/>
    </xf>
    <xf numFmtId="0" fontId="15" fillId="5" borderId="5" xfId="0" applyFont="1" applyFill="1" applyBorder="1" applyAlignment="1">
      <alignment horizontal="left" wrapText="1"/>
    </xf>
    <xf numFmtId="0" fontId="15" fillId="5" borderId="0" xfId="0" applyFont="1" applyFill="1" applyAlignment="1">
      <alignment horizontal="left" wrapText="1"/>
    </xf>
  </cellXfs>
  <cellStyles count="5">
    <cellStyle name="Hipervínculo" xfId="3" builtinId="8"/>
    <cellStyle name="Moneda" xfId="1" builtinId="4"/>
    <cellStyle name="Normal" xfId="0" builtinId="0"/>
    <cellStyle name="Normal 2" xfId="2" xr:uid="{00000000-0005-0000-0000-000003000000}"/>
    <cellStyle name="Porcentaje" xfId="4" builtinId="5"/>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1.ariba.com/Buyer/Main/aw?awh=r&amp;awssk=XhSRCjZV&amp;realm=pampaysubsidiarias&amp;dard=1" TargetMode="External"/><Relationship Id="rId7" Type="http://schemas.openxmlformats.org/officeDocument/2006/relationships/comments" Target="../comments1.xml"/><Relationship Id="rId2" Type="http://schemas.openxmlformats.org/officeDocument/2006/relationships/hyperlink" Target="https://s1.ariba.com/Buyer/Main/aw?awh=r&amp;awssk=XhSRCjZV&amp;realm=pampaysubsidiarias&amp;dard=1" TargetMode="External"/><Relationship Id="rId1" Type="http://schemas.openxmlformats.org/officeDocument/2006/relationships/hyperlink" Target="https://s1.ariba.com/Buyer/Main/aw?awh=r&amp;awssk=4ScHTBFx&amp;realm=pampaysubsidiarias&amp;dard=1"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s1.ariba.com/Buyer/Main/aw?awh=r&amp;awssk=XhSRCjZV&amp;realm=pampaysubsidiarias&amp;dard=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23"/>
  <sheetViews>
    <sheetView showGridLines="0" tabSelected="1" workbookViewId="0">
      <selection activeCell="E116" sqref="E116"/>
    </sheetView>
  </sheetViews>
  <sheetFormatPr baseColWidth="10" defaultColWidth="9.33203125" defaultRowHeight="13.2" x14ac:dyDescent="0.25"/>
  <cols>
    <col min="1" max="2" width="11.44140625" customWidth="1"/>
    <col min="3" max="3" width="73" customWidth="1"/>
    <col min="4" max="4" width="8.88671875" customWidth="1"/>
    <col min="5" max="5" width="17.88671875" customWidth="1"/>
    <col min="6" max="6" width="21.5546875" customWidth="1"/>
  </cols>
  <sheetData>
    <row r="1" spans="1:6" ht="30.75" customHeight="1" x14ac:dyDescent="0.25">
      <c r="A1" s="44" t="s">
        <v>0</v>
      </c>
      <c r="B1" s="45"/>
      <c r="C1" s="45"/>
      <c r="D1" s="45"/>
      <c r="E1" s="45"/>
      <c r="F1" s="46"/>
    </row>
    <row r="2" spans="1:6" ht="13.8" x14ac:dyDescent="0.3">
      <c r="A2" s="1"/>
      <c r="B2" s="26"/>
      <c r="C2" s="26"/>
      <c r="D2" s="26"/>
      <c r="E2" s="26"/>
      <c r="F2" s="2"/>
    </row>
    <row r="3" spans="1:6" ht="15.6" x14ac:dyDescent="0.3">
      <c r="A3" s="3" t="s">
        <v>1</v>
      </c>
      <c r="B3" s="4"/>
      <c r="C3" s="14"/>
      <c r="D3" s="4" t="s">
        <v>2</v>
      </c>
      <c r="E3" s="4"/>
      <c r="F3" s="5"/>
    </row>
    <row r="4" spans="1:6" ht="13.8" x14ac:dyDescent="0.3">
      <c r="A4" s="6" t="s">
        <v>3</v>
      </c>
      <c r="B4" s="25"/>
      <c r="C4" s="25"/>
      <c r="D4" s="25"/>
      <c r="E4" s="25"/>
      <c r="F4" s="7"/>
    </row>
    <row r="5" spans="1:6" ht="13.8" x14ac:dyDescent="0.3">
      <c r="A5" s="8" t="s">
        <v>4</v>
      </c>
      <c r="B5" s="9"/>
      <c r="C5" s="9"/>
      <c r="D5" s="9"/>
      <c r="E5" s="9"/>
      <c r="F5" s="10"/>
    </row>
    <row r="6" spans="1:6" ht="13.8" x14ac:dyDescent="0.3">
      <c r="A6" s="6"/>
      <c r="B6" s="25"/>
      <c r="C6" s="25"/>
      <c r="D6" s="25"/>
      <c r="E6" s="25"/>
      <c r="F6" s="7"/>
    </row>
    <row r="7" spans="1:6" ht="25.8" x14ac:dyDescent="0.5">
      <c r="A7" s="47" t="s">
        <v>5</v>
      </c>
      <c r="B7" s="48"/>
      <c r="C7" s="48"/>
      <c r="D7" s="48"/>
      <c r="E7" s="48"/>
      <c r="F7" s="49"/>
    </row>
    <row r="8" spans="1:6" ht="13.8" x14ac:dyDescent="0.3">
      <c r="A8" s="6"/>
      <c r="B8" s="25"/>
      <c r="C8" s="25"/>
      <c r="D8" s="25"/>
      <c r="E8" s="25"/>
      <c r="F8" s="7"/>
    </row>
    <row r="9" spans="1:6" s="15" customFormat="1" ht="41.4" x14ac:dyDescent="0.25">
      <c r="A9" s="27" t="s">
        <v>6</v>
      </c>
      <c r="B9" s="16" t="s">
        <v>7</v>
      </c>
      <c r="C9" s="16" t="s">
        <v>8</v>
      </c>
      <c r="D9" s="16" t="s">
        <v>9</v>
      </c>
      <c r="E9" s="16" t="s">
        <v>10</v>
      </c>
      <c r="F9" s="28" t="s">
        <v>11</v>
      </c>
    </row>
    <row r="10" spans="1:6" ht="14.4" x14ac:dyDescent="0.25">
      <c r="A10" s="29">
        <v>1</v>
      </c>
      <c r="B10" s="17" t="s">
        <v>12</v>
      </c>
      <c r="C10" s="18" t="s">
        <v>13</v>
      </c>
      <c r="D10" s="19">
        <v>10</v>
      </c>
      <c r="E10" s="24"/>
      <c r="F10" s="30">
        <f>E10*D10</f>
        <v>0</v>
      </c>
    </row>
    <row r="11" spans="1:6" ht="14.4" x14ac:dyDescent="0.25">
      <c r="A11" s="29">
        <v>2</v>
      </c>
      <c r="B11" s="17" t="s">
        <v>12</v>
      </c>
      <c r="C11" s="18" t="s">
        <v>14</v>
      </c>
      <c r="D11" s="19">
        <v>30</v>
      </c>
      <c r="E11" s="24"/>
      <c r="F11" s="30">
        <f t="shared" ref="F11:F74" si="0">E11*D11</f>
        <v>0</v>
      </c>
    </row>
    <row r="12" spans="1:6" ht="14.4" x14ac:dyDescent="0.25">
      <c r="A12" s="29">
        <v>3</v>
      </c>
      <c r="B12" s="17" t="s">
        <v>12</v>
      </c>
      <c r="C12" s="18" t="s">
        <v>15</v>
      </c>
      <c r="D12" s="19">
        <v>10</v>
      </c>
      <c r="E12" s="24"/>
      <c r="F12" s="30">
        <f t="shared" si="0"/>
        <v>0</v>
      </c>
    </row>
    <row r="13" spans="1:6" ht="14.4" x14ac:dyDescent="0.25">
      <c r="A13" s="29">
        <v>4</v>
      </c>
      <c r="B13" s="17" t="s">
        <v>12</v>
      </c>
      <c r="C13" s="18" t="s">
        <v>16</v>
      </c>
      <c r="D13" s="19">
        <v>10</v>
      </c>
      <c r="E13" s="24"/>
      <c r="F13" s="30">
        <f t="shared" si="0"/>
        <v>0</v>
      </c>
    </row>
    <row r="14" spans="1:6" ht="14.4" x14ac:dyDescent="0.25">
      <c r="A14" s="29">
        <v>5</v>
      </c>
      <c r="B14" s="17" t="s">
        <v>12</v>
      </c>
      <c r="C14" s="18" t="s">
        <v>17</v>
      </c>
      <c r="D14" s="19">
        <v>40</v>
      </c>
      <c r="E14" s="24"/>
      <c r="F14" s="30">
        <f t="shared" si="0"/>
        <v>0</v>
      </c>
    </row>
    <row r="15" spans="1:6" ht="14.4" x14ac:dyDescent="0.25">
      <c r="A15" s="29">
        <v>6</v>
      </c>
      <c r="B15" s="17" t="s">
        <v>12</v>
      </c>
      <c r="C15" s="18" t="s">
        <v>18</v>
      </c>
      <c r="D15" s="19">
        <v>50</v>
      </c>
      <c r="E15" s="24"/>
      <c r="F15" s="30">
        <f t="shared" si="0"/>
        <v>0</v>
      </c>
    </row>
    <row r="16" spans="1:6" ht="14.4" x14ac:dyDescent="0.25">
      <c r="A16" s="29">
        <v>7</v>
      </c>
      <c r="B16" s="17" t="s">
        <v>12</v>
      </c>
      <c r="C16" s="18" t="s">
        <v>19</v>
      </c>
      <c r="D16" s="19">
        <v>35</v>
      </c>
      <c r="E16" s="24"/>
      <c r="F16" s="30">
        <f t="shared" si="0"/>
        <v>0</v>
      </c>
    </row>
    <row r="17" spans="1:6" ht="14.4" x14ac:dyDescent="0.25">
      <c r="A17" s="29">
        <v>8</v>
      </c>
      <c r="B17" s="17" t="s">
        <v>12</v>
      </c>
      <c r="C17" s="18" t="s">
        <v>20</v>
      </c>
      <c r="D17" s="19">
        <v>40</v>
      </c>
      <c r="E17" s="24"/>
      <c r="F17" s="30">
        <f t="shared" si="0"/>
        <v>0</v>
      </c>
    </row>
    <row r="18" spans="1:6" ht="14.4" x14ac:dyDescent="0.25">
      <c r="A18" s="29">
        <v>9</v>
      </c>
      <c r="B18" s="17" t="s">
        <v>12</v>
      </c>
      <c r="C18" s="18" t="s">
        <v>21</v>
      </c>
      <c r="D18" s="19">
        <v>25</v>
      </c>
      <c r="E18" s="24"/>
      <c r="F18" s="30">
        <f t="shared" si="0"/>
        <v>0</v>
      </c>
    </row>
    <row r="19" spans="1:6" ht="14.4" x14ac:dyDescent="0.25">
      <c r="A19" s="29">
        <v>10</v>
      </c>
      <c r="B19" s="17" t="s">
        <v>12</v>
      </c>
      <c r="C19" s="18" t="s">
        <v>22</v>
      </c>
      <c r="D19" s="19">
        <v>35</v>
      </c>
      <c r="E19" s="24"/>
      <c r="F19" s="30">
        <f t="shared" si="0"/>
        <v>0</v>
      </c>
    </row>
    <row r="20" spans="1:6" ht="14.4" x14ac:dyDescent="0.25">
      <c r="A20" s="29">
        <v>11</v>
      </c>
      <c r="B20" s="17" t="s">
        <v>12</v>
      </c>
      <c r="C20" s="18" t="s">
        <v>23</v>
      </c>
      <c r="D20" s="19">
        <v>25</v>
      </c>
      <c r="E20" s="24"/>
      <c r="F20" s="30">
        <f t="shared" si="0"/>
        <v>0</v>
      </c>
    </row>
    <row r="21" spans="1:6" ht="14.4" x14ac:dyDescent="0.25">
      <c r="A21" s="29">
        <v>12</v>
      </c>
      <c r="B21" s="17" t="s">
        <v>12</v>
      </c>
      <c r="C21" s="18" t="s">
        <v>24</v>
      </c>
      <c r="D21" s="19">
        <v>20</v>
      </c>
      <c r="E21" s="24"/>
      <c r="F21" s="30">
        <f t="shared" si="0"/>
        <v>0</v>
      </c>
    </row>
    <row r="22" spans="1:6" ht="14.4" x14ac:dyDescent="0.25">
      <c r="A22" s="29">
        <v>13</v>
      </c>
      <c r="B22" s="17" t="s">
        <v>25</v>
      </c>
      <c r="C22" s="18" t="s">
        <v>26</v>
      </c>
      <c r="D22" s="19">
        <v>70</v>
      </c>
      <c r="E22" s="24"/>
      <c r="F22" s="30">
        <f t="shared" si="0"/>
        <v>0</v>
      </c>
    </row>
    <row r="23" spans="1:6" ht="14.4" x14ac:dyDescent="0.25">
      <c r="A23" s="29">
        <v>14</v>
      </c>
      <c r="B23" s="17" t="s">
        <v>25</v>
      </c>
      <c r="C23" s="18" t="s">
        <v>27</v>
      </c>
      <c r="D23" s="19">
        <v>70</v>
      </c>
      <c r="E23" s="24"/>
      <c r="F23" s="30">
        <f t="shared" si="0"/>
        <v>0</v>
      </c>
    </row>
    <row r="24" spans="1:6" ht="14.4" x14ac:dyDescent="0.25">
      <c r="A24" s="29">
        <v>15</v>
      </c>
      <c r="B24" s="17" t="s">
        <v>25</v>
      </c>
      <c r="C24" s="18" t="s">
        <v>28</v>
      </c>
      <c r="D24" s="19">
        <v>60</v>
      </c>
      <c r="E24" s="24"/>
      <c r="F24" s="30">
        <f t="shared" si="0"/>
        <v>0</v>
      </c>
    </row>
    <row r="25" spans="1:6" ht="14.4" x14ac:dyDescent="0.25">
      <c r="A25" s="29">
        <v>16</v>
      </c>
      <c r="B25" s="17" t="s">
        <v>25</v>
      </c>
      <c r="C25" s="18" t="s">
        <v>29</v>
      </c>
      <c r="D25" s="19">
        <v>60</v>
      </c>
      <c r="E25" s="24"/>
      <c r="F25" s="30">
        <f t="shared" si="0"/>
        <v>0</v>
      </c>
    </row>
    <row r="26" spans="1:6" ht="14.4" x14ac:dyDescent="0.25">
      <c r="A26" s="29">
        <v>17</v>
      </c>
      <c r="B26" s="17" t="s">
        <v>30</v>
      </c>
      <c r="C26" s="18" t="s">
        <v>31</v>
      </c>
      <c r="D26" s="19">
        <v>60</v>
      </c>
      <c r="E26" s="24"/>
      <c r="F26" s="30">
        <f t="shared" si="0"/>
        <v>0</v>
      </c>
    </row>
    <row r="27" spans="1:6" ht="14.4" x14ac:dyDescent="0.25">
      <c r="A27" s="29">
        <v>18</v>
      </c>
      <c r="B27" s="17" t="s">
        <v>30</v>
      </c>
      <c r="C27" s="18" t="s">
        <v>32</v>
      </c>
      <c r="D27" s="19">
        <v>60</v>
      </c>
      <c r="E27" s="24"/>
      <c r="F27" s="30">
        <f t="shared" si="0"/>
        <v>0</v>
      </c>
    </row>
    <row r="28" spans="1:6" ht="14.4" x14ac:dyDescent="0.25">
      <c r="A28" s="29">
        <v>19</v>
      </c>
      <c r="B28" s="17" t="s">
        <v>30</v>
      </c>
      <c r="C28" s="18" t="s">
        <v>33</v>
      </c>
      <c r="D28" s="19">
        <v>45</v>
      </c>
      <c r="E28" s="24"/>
      <c r="F28" s="30">
        <f t="shared" si="0"/>
        <v>0</v>
      </c>
    </row>
    <row r="29" spans="1:6" ht="14.4" x14ac:dyDescent="0.25">
      <c r="A29" s="29">
        <v>20</v>
      </c>
      <c r="B29" s="17" t="s">
        <v>12</v>
      </c>
      <c r="C29" s="18" t="s">
        <v>34</v>
      </c>
      <c r="D29" s="19">
        <v>60</v>
      </c>
      <c r="E29" s="24"/>
      <c r="F29" s="30">
        <f t="shared" si="0"/>
        <v>0</v>
      </c>
    </row>
    <row r="30" spans="1:6" ht="14.4" x14ac:dyDescent="0.25">
      <c r="A30" s="29">
        <v>21</v>
      </c>
      <c r="B30" s="17" t="s">
        <v>12</v>
      </c>
      <c r="C30" s="18" t="s">
        <v>35</v>
      </c>
      <c r="D30" s="19">
        <v>60</v>
      </c>
      <c r="E30" s="24"/>
      <c r="F30" s="30">
        <f t="shared" si="0"/>
        <v>0</v>
      </c>
    </row>
    <row r="31" spans="1:6" ht="14.4" x14ac:dyDescent="0.25">
      <c r="A31" s="29">
        <v>22</v>
      </c>
      <c r="B31" s="17" t="s">
        <v>30</v>
      </c>
      <c r="C31" s="18" t="s">
        <v>36</v>
      </c>
      <c r="D31" s="19">
        <v>100</v>
      </c>
      <c r="E31" s="24"/>
      <c r="F31" s="30">
        <f t="shared" si="0"/>
        <v>0</v>
      </c>
    </row>
    <row r="32" spans="1:6" ht="14.4" x14ac:dyDescent="0.25">
      <c r="A32" s="29">
        <v>23</v>
      </c>
      <c r="B32" s="17" t="s">
        <v>12</v>
      </c>
      <c r="C32" s="18" t="s">
        <v>37</v>
      </c>
      <c r="D32" s="19">
        <v>40</v>
      </c>
      <c r="E32" s="24"/>
      <c r="F32" s="30">
        <f t="shared" si="0"/>
        <v>0</v>
      </c>
    </row>
    <row r="33" spans="1:6" ht="14.4" x14ac:dyDescent="0.25">
      <c r="A33" s="29">
        <v>24</v>
      </c>
      <c r="B33" s="17" t="s">
        <v>30</v>
      </c>
      <c r="C33" s="18" t="s">
        <v>38</v>
      </c>
      <c r="D33" s="19">
        <v>200</v>
      </c>
      <c r="E33" s="24"/>
      <c r="F33" s="30">
        <f t="shared" si="0"/>
        <v>0</v>
      </c>
    </row>
    <row r="34" spans="1:6" ht="14.4" x14ac:dyDescent="0.25">
      <c r="A34" s="29">
        <v>25</v>
      </c>
      <c r="B34" s="17" t="s">
        <v>30</v>
      </c>
      <c r="C34" s="18" t="s">
        <v>39</v>
      </c>
      <c r="D34" s="19">
        <v>50</v>
      </c>
      <c r="E34" s="24"/>
      <c r="F34" s="30">
        <f t="shared" si="0"/>
        <v>0</v>
      </c>
    </row>
    <row r="35" spans="1:6" ht="14.4" x14ac:dyDescent="0.25">
      <c r="A35" s="29">
        <v>26</v>
      </c>
      <c r="B35" s="17" t="s">
        <v>30</v>
      </c>
      <c r="C35" s="18" t="s">
        <v>40</v>
      </c>
      <c r="D35" s="19">
        <v>45</v>
      </c>
      <c r="E35" s="24"/>
      <c r="F35" s="30">
        <f t="shared" si="0"/>
        <v>0</v>
      </c>
    </row>
    <row r="36" spans="1:6" ht="14.4" x14ac:dyDescent="0.25">
      <c r="A36" s="29">
        <v>27</v>
      </c>
      <c r="B36" s="17" t="s">
        <v>12</v>
      </c>
      <c r="C36" s="18" t="s">
        <v>41</v>
      </c>
      <c r="D36" s="19">
        <v>10</v>
      </c>
      <c r="E36" s="24"/>
      <c r="F36" s="30">
        <f t="shared" si="0"/>
        <v>0</v>
      </c>
    </row>
    <row r="37" spans="1:6" ht="14.4" x14ac:dyDescent="0.25">
      <c r="A37" s="29">
        <v>28</v>
      </c>
      <c r="B37" s="17" t="s">
        <v>12</v>
      </c>
      <c r="C37" s="18" t="s">
        <v>42</v>
      </c>
      <c r="D37" s="19">
        <v>45</v>
      </c>
      <c r="E37" s="24"/>
      <c r="F37" s="30">
        <f t="shared" si="0"/>
        <v>0</v>
      </c>
    </row>
    <row r="38" spans="1:6" ht="14.4" x14ac:dyDescent="0.25">
      <c r="A38" s="29">
        <v>29</v>
      </c>
      <c r="B38" s="17" t="s">
        <v>12</v>
      </c>
      <c r="C38" s="18" t="s">
        <v>43</v>
      </c>
      <c r="D38" s="19">
        <v>20</v>
      </c>
      <c r="E38" s="24"/>
      <c r="F38" s="30">
        <f t="shared" si="0"/>
        <v>0</v>
      </c>
    </row>
    <row r="39" spans="1:6" ht="14.4" x14ac:dyDescent="0.25">
      <c r="A39" s="29">
        <v>30</v>
      </c>
      <c r="B39" s="17" t="s">
        <v>12</v>
      </c>
      <c r="C39" s="18" t="s">
        <v>44</v>
      </c>
      <c r="D39" s="19">
        <v>35</v>
      </c>
      <c r="E39" s="24"/>
      <c r="F39" s="30">
        <f t="shared" si="0"/>
        <v>0</v>
      </c>
    </row>
    <row r="40" spans="1:6" ht="14.4" x14ac:dyDescent="0.25">
      <c r="A40" s="29">
        <v>31</v>
      </c>
      <c r="B40" s="17" t="s">
        <v>12</v>
      </c>
      <c r="C40" s="18" t="s">
        <v>45</v>
      </c>
      <c r="D40" s="19">
        <v>35</v>
      </c>
      <c r="E40" s="24"/>
      <c r="F40" s="30">
        <f t="shared" si="0"/>
        <v>0</v>
      </c>
    </row>
    <row r="41" spans="1:6" ht="14.4" x14ac:dyDescent="0.25">
      <c r="A41" s="29">
        <v>32</v>
      </c>
      <c r="B41" s="17" t="s">
        <v>12</v>
      </c>
      <c r="C41" s="18" t="s">
        <v>46</v>
      </c>
      <c r="D41" s="19">
        <v>25</v>
      </c>
      <c r="E41" s="24"/>
      <c r="F41" s="30">
        <f t="shared" si="0"/>
        <v>0</v>
      </c>
    </row>
    <row r="42" spans="1:6" ht="14.4" x14ac:dyDescent="0.25">
      <c r="A42" s="29">
        <v>33</v>
      </c>
      <c r="B42" s="17" t="s">
        <v>12</v>
      </c>
      <c r="C42" s="18" t="s">
        <v>47</v>
      </c>
      <c r="D42" s="19">
        <v>25</v>
      </c>
      <c r="E42" s="24"/>
      <c r="F42" s="30">
        <f t="shared" si="0"/>
        <v>0</v>
      </c>
    </row>
    <row r="43" spans="1:6" ht="14.4" x14ac:dyDescent="0.25">
      <c r="A43" s="29">
        <v>34</v>
      </c>
      <c r="B43" s="17" t="s">
        <v>30</v>
      </c>
      <c r="C43" s="18" t="s">
        <v>48</v>
      </c>
      <c r="D43" s="19">
        <v>45</v>
      </c>
      <c r="E43" s="24"/>
      <c r="F43" s="30">
        <f t="shared" si="0"/>
        <v>0</v>
      </c>
    </row>
    <row r="44" spans="1:6" ht="14.4" x14ac:dyDescent="0.25">
      <c r="A44" s="29">
        <v>35</v>
      </c>
      <c r="B44" s="17" t="s">
        <v>30</v>
      </c>
      <c r="C44" s="18" t="s">
        <v>49</v>
      </c>
      <c r="D44" s="19">
        <v>25</v>
      </c>
      <c r="E44" s="24"/>
      <c r="F44" s="30">
        <f t="shared" si="0"/>
        <v>0</v>
      </c>
    </row>
    <row r="45" spans="1:6" ht="14.4" x14ac:dyDescent="0.25">
      <c r="A45" s="29">
        <v>36</v>
      </c>
      <c r="B45" s="17" t="s">
        <v>50</v>
      </c>
      <c r="C45" s="18" t="s">
        <v>51</v>
      </c>
      <c r="D45" s="19">
        <v>80</v>
      </c>
      <c r="E45" s="24"/>
      <c r="F45" s="30">
        <f t="shared" si="0"/>
        <v>0</v>
      </c>
    </row>
    <row r="46" spans="1:6" ht="14.4" x14ac:dyDescent="0.25">
      <c r="A46" s="29">
        <v>37</v>
      </c>
      <c r="B46" s="17" t="s">
        <v>12</v>
      </c>
      <c r="C46" s="35" t="s">
        <v>52</v>
      </c>
      <c r="D46" s="19"/>
      <c r="E46" s="24"/>
      <c r="F46" s="30">
        <f t="shared" si="0"/>
        <v>0</v>
      </c>
    </row>
    <row r="47" spans="1:6" ht="14.4" x14ac:dyDescent="0.25">
      <c r="A47" s="29">
        <v>38</v>
      </c>
      <c r="B47" s="17" t="s">
        <v>12</v>
      </c>
      <c r="C47" s="18" t="s">
        <v>53</v>
      </c>
      <c r="D47" s="19">
        <v>1400</v>
      </c>
      <c r="E47" s="24"/>
      <c r="F47" s="30">
        <f t="shared" si="0"/>
        <v>0</v>
      </c>
    </row>
    <row r="48" spans="1:6" ht="14.4" x14ac:dyDescent="0.25">
      <c r="A48" s="29">
        <v>39</v>
      </c>
      <c r="B48" s="17" t="s">
        <v>12</v>
      </c>
      <c r="C48" s="18" t="s">
        <v>54</v>
      </c>
      <c r="D48" s="19">
        <v>15</v>
      </c>
      <c r="E48" s="24"/>
      <c r="F48" s="30">
        <f t="shared" si="0"/>
        <v>0</v>
      </c>
    </row>
    <row r="49" spans="1:6" ht="14.4" x14ac:dyDescent="0.25">
      <c r="A49" s="29">
        <v>40</v>
      </c>
      <c r="B49" s="17" t="s">
        <v>12</v>
      </c>
      <c r="C49" s="18" t="s">
        <v>55</v>
      </c>
      <c r="D49" s="19">
        <v>25</v>
      </c>
      <c r="E49" s="24"/>
      <c r="F49" s="30">
        <f t="shared" si="0"/>
        <v>0</v>
      </c>
    </row>
    <row r="50" spans="1:6" ht="14.4" x14ac:dyDescent="0.25">
      <c r="A50" s="29">
        <v>41</v>
      </c>
      <c r="B50" s="17" t="s">
        <v>12</v>
      </c>
      <c r="C50" s="18" t="s">
        <v>56</v>
      </c>
      <c r="D50" s="19">
        <v>25</v>
      </c>
      <c r="E50" s="24"/>
      <c r="F50" s="30">
        <f t="shared" si="0"/>
        <v>0</v>
      </c>
    </row>
    <row r="51" spans="1:6" ht="14.4" x14ac:dyDescent="0.25">
      <c r="A51" s="29">
        <v>42</v>
      </c>
      <c r="B51" s="17" t="s">
        <v>12</v>
      </c>
      <c r="C51" s="18" t="s">
        <v>57</v>
      </c>
      <c r="D51" s="19">
        <v>2100</v>
      </c>
      <c r="E51" s="24"/>
      <c r="F51" s="30">
        <f t="shared" si="0"/>
        <v>0</v>
      </c>
    </row>
    <row r="52" spans="1:6" ht="14.4" x14ac:dyDescent="0.25">
      <c r="A52" s="29">
        <v>43</v>
      </c>
      <c r="B52" s="17" t="s">
        <v>12</v>
      </c>
      <c r="C52" s="18" t="s">
        <v>58</v>
      </c>
      <c r="D52" s="19">
        <v>2100</v>
      </c>
      <c r="E52" s="24"/>
      <c r="F52" s="30">
        <f t="shared" si="0"/>
        <v>0</v>
      </c>
    </row>
    <row r="53" spans="1:6" ht="14.4" x14ac:dyDescent="0.25">
      <c r="A53" s="29">
        <v>44</v>
      </c>
      <c r="B53" s="17" t="s">
        <v>30</v>
      </c>
      <c r="C53" s="18" t="s">
        <v>59</v>
      </c>
      <c r="D53" s="19">
        <v>50</v>
      </c>
      <c r="E53" s="24"/>
      <c r="F53" s="30">
        <f t="shared" si="0"/>
        <v>0</v>
      </c>
    </row>
    <row r="54" spans="1:6" ht="14.4" x14ac:dyDescent="0.25">
      <c r="A54" s="29">
        <v>45</v>
      </c>
      <c r="B54" s="17" t="s">
        <v>30</v>
      </c>
      <c r="C54" s="18" t="s">
        <v>60</v>
      </c>
      <c r="D54" s="19">
        <v>50</v>
      </c>
      <c r="E54" s="34"/>
      <c r="F54" s="30">
        <f t="shared" si="0"/>
        <v>0</v>
      </c>
    </row>
    <row r="55" spans="1:6" ht="14.4" x14ac:dyDescent="0.25">
      <c r="A55" s="29">
        <v>46</v>
      </c>
      <c r="B55" s="17" t="s">
        <v>30</v>
      </c>
      <c r="C55" s="18" t="s">
        <v>61</v>
      </c>
      <c r="D55" s="19">
        <v>50</v>
      </c>
      <c r="E55" s="24"/>
      <c r="F55" s="30">
        <f t="shared" si="0"/>
        <v>0</v>
      </c>
    </row>
    <row r="56" spans="1:6" ht="14.4" x14ac:dyDescent="0.25">
      <c r="A56" s="29">
        <v>47</v>
      </c>
      <c r="B56" s="17" t="s">
        <v>30</v>
      </c>
      <c r="C56" s="18" t="s">
        <v>62</v>
      </c>
      <c r="D56" s="19">
        <v>50</v>
      </c>
      <c r="E56" s="24"/>
      <c r="F56" s="30">
        <f t="shared" si="0"/>
        <v>0</v>
      </c>
    </row>
    <row r="57" spans="1:6" ht="14.4" x14ac:dyDescent="0.25">
      <c r="A57" s="29">
        <v>48</v>
      </c>
      <c r="B57" s="17" t="s">
        <v>30</v>
      </c>
      <c r="C57" s="18" t="s">
        <v>63</v>
      </c>
      <c r="D57" s="19">
        <v>50</v>
      </c>
      <c r="E57" s="24"/>
      <c r="F57" s="30">
        <f t="shared" si="0"/>
        <v>0</v>
      </c>
    </row>
    <row r="58" spans="1:6" ht="14.4" x14ac:dyDescent="0.25">
      <c r="A58" s="29">
        <v>49</v>
      </c>
      <c r="B58" s="17" t="s">
        <v>25</v>
      </c>
      <c r="C58" s="18" t="s">
        <v>64</v>
      </c>
      <c r="D58" s="19">
        <v>35</v>
      </c>
      <c r="E58" s="24"/>
      <c r="F58" s="30">
        <f t="shared" si="0"/>
        <v>0</v>
      </c>
    </row>
    <row r="59" spans="1:6" ht="14.4" x14ac:dyDescent="0.25">
      <c r="A59" s="29">
        <v>50</v>
      </c>
      <c r="B59" s="17" t="s">
        <v>12</v>
      </c>
      <c r="C59" s="20" t="s">
        <v>65</v>
      </c>
      <c r="D59" s="19">
        <v>35</v>
      </c>
      <c r="E59" s="24"/>
      <c r="F59" s="30">
        <f t="shared" si="0"/>
        <v>0</v>
      </c>
    </row>
    <row r="60" spans="1:6" ht="14.4" x14ac:dyDescent="0.25">
      <c r="A60" s="29">
        <v>51</v>
      </c>
      <c r="B60" s="17" t="s">
        <v>30</v>
      </c>
      <c r="C60" s="18" t="s">
        <v>66</v>
      </c>
      <c r="D60" s="19">
        <v>70</v>
      </c>
      <c r="E60" s="24"/>
      <c r="F60" s="30">
        <f t="shared" si="0"/>
        <v>0</v>
      </c>
    </row>
    <row r="61" spans="1:6" ht="14.4" x14ac:dyDescent="0.25">
      <c r="A61" s="29">
        <v>52</v>
      </c>
      <c r="B61" s="19" t="s">
        <v>25</v>
      </c>
      <c r="C61" s="21" t="s">
        <v>67</v>
      </c>
      <c r="D61" s="19">
        <v>200</v>
      </c>
      <c r="E61" s="24"/>
      <c r="F61" s="30">
        <f t="shared" si="0"/>
        <v>0</v>
      </c>
    </row>
    <row r="62" spans="1:6" ht="14.4" x14ac:dyDescent="0.25">
      <c r="A62" s="29">
        <v>53</v>
      </c>
      <c r="B62" s="19" t="s">
        <v>30</v>
      </c>
      <c r="C62" s="21" t="s">
        <v>68</v>
      </c>
      <c r="D62" s="19">
        <v>60</v>
      </c>
      <c r="E62" s="24"/>
      <c r="F62" s="30">
        <f t="shared" si="0"/>
        <v>0</v>
      </c>
    </row>
    <row r="63" spans="1:6" ht="14.4" x14ac:dyDescent="0.25">
      <c r="A63" s="29">
        <v>54</v>
      </c>
      <c r="B63" s="19" t="s">
        <v>12</v>
      </c>
      <c r="C63" s="21" t="s">
        <v>69</v>
      </c>
      <c r="D63" s="19">
        <v>60</v>
      </c>
      <c r="E63" s="24"/>
      <c r="F63" s="30">
        <f t="shared" si="0"/>
        <v>0</v>
      </c>
    </row>
    <row r="64" spans="1:6" ht="14.4" x14ac:dyDescent="0.25">
      <c r="A64" s="29">
        <v>55</v>
      </c>
      <c r="B64" s="19" t="s">
        <v>12</v>
      </c>
      <c r="C64" s="21" t="s">
        <v>70</v>
      </c>
      <c r="D64" s="19">
        <v>5</v>
      </c>
      <c r="E64" s="24"/>
      <c r="F64" s="30">
        <f t="shared" si="0"/>
        <v>0</v>
      </c>
    </row>
    <row r="65" spans="1:6" ht="14.4" x14ac:dyDescent="0.25">
      <c r="A65" s="29">
        <v>56</v>
      </c>
      <c r="B65" s="19" t="s">
        <v>12</v>
      </c>
      <c r="C65" s="21" t="s">
        <v>71</v>
      </c>
      <c r="D65" s="19">
        <v>50</v>
      </c>
      <c r="E65" s="24"/>
      <c r="F65" s="30">
        <f t="shared" si="0"/>
        <v>0</v>
      </c>
    </row>
    <row r="66" spans="1:6" ht="14.4" x14ac:dyDescent="0.25">
      <c r="A66" s="29">
        <v>57</v>
      </c>
      <c r="B66" s="19" t="s">
        <v>12</v>
      </c>
      <c r="C66" s="21" t="s">
        <v>72</v>
      </c>
      <c r="D66" s="19">
        <v>50</v>
      </c>
      <c r="E66" s="24"/>
      <c r="F66" s="30">
        <f t="shared" si="0"/>
        <v>0</v>
      </c>
    </row>
    <row r="67" spans="1:6" ht="14.4" x14ac:dyDescent="0.25">
      <c r="A67" s="29">
        <v>58</v>
      </c>
      <c r="B67" s="19" t="s">
        <v>12</v>
      </c>
      <c r="C67" s="21" t="s">
        <v>73</v>
      </c>
      <c r="D67" s="19">
        <v>25</v>
      </c>
      <c r="E67" s="24"/>
      <c r="F67" s="30">
        <f t="shared" si="0"/>
        <v>0</v>
      </c>
    </row>
    <row r="68" spans="1:6" ht="14.4" x14ac:dyDescent="0.25">
      <c r="A68" s="29">
        <v>59</v>
      </c>
      <c r="B68" s="19" t="s">
        <v>12</v>
      </c>
      <c r="C68" s="21" t="s">
        <v>74</v>
      </c>
      <c r="D68" s="19">
        <v>25</v>
      </c>
      <c r="E68" s="24"/>
      <c r="F68" s="30">
        <f t="shared" si="0"/>
        <v>0</v>
      </c>
    </row>
    <row r="69" spans="1:6" ht="14.4" x14ac:dyDescent="0.25">
      <c r="A69" s="29">
        <v>60</v>
      </c>
      <c r="B69" s="19" t="s">
        <v>12</v>
      </c>
      <c r="C69" s="21" t="s">
        <v>75</v>
      </c>
      <c r="D69" s="19">
        <v>25</v>
      </c>
      <c r="E69" s="24"/>
      <c r="F69" s="30">
        <f t="shared" si="0"/>
        <v>0</v>
      </c>
    </row>
    <row r="70" spans="1:6" ht="14.4" x14ac:dyDescent="0.25">
      <c r="A70" s="29">
        <v>61</v>
      </c>
      <c r="B70" s="19" t="s">
        <v>12</v>
      </c>
      <c r="C70" s="21" t="s">
        <v>76</v>
      </c>
      <c r="D70" s="19">
        <v>20</v>
      </c>
      <c r="E70" s="24"/>
      <c r="F70" s="30">
        <f t="shared" si="0"/>
        <v>0</v>
      </c>
    </row>
    <row r="71" spans="1:6" ht="14.4" x14ac:dyDescent="0.25">
      <c r="A71" s="29">
        <v>62</v>
      </c>
      <c r="B71" s="19" t="s">
        <v>12</v>
      </c>
      <c r="C71" s="21" t="s">
        <v>77</v>
      </c>
      <c r="D71" s="19">
        <v>20</v>
      </c>
      <c r="E71" s="24"/>
      <c r="F71" s="30">
        <f t="shared" si="0"/>
        <v>0</v>
      </c>
    </row>
    <row r="72" spans="1:6" ht="14.4" x14ac:dyDescent="0.25">
      <c r="A72" s="29">
        <v>63</v>
      </c>
      <c r="B72" s="19" t="s">
        <v>12</v>
      </c>
      <c r="C72" s="21" t="s">
        <v>78</v>
      </c>
      <c r="D72" s="19">
        <v>10</v>
      </c>
      <c r="E72" s="24"/>
      <c r="F72" s="30">
        <f t="shared" si="0"/>
        <v>0</v>
      </c>
    </row>
    <row r="73" spans="1:6" ht="14.4" x14ac:dyDescent="0.25">
      <c r="A73" s="29">
        <v>64</v>
      </c>
      <c r="B73" s="19" t="s">
        <v>12</v>
      </c>
      <c r="C73" s="21" t="s">
        <v>79</v>
      </c>
      <c r="D73" s="19">
        <v>15</v>
      </c>
      <c r="E73" s="24"/>
      <c r="F73" s="30">
        <f t="shared" si="0"/>
        <v>0</v>
      </c>
    </row>
    <row r="74" spans="1:6" ht="14.4" x14ac:dyDescent="0.25">
      <c r="A74" s="29">
        <v>65</v>
      </c>
      <c r="B74" s="19" t="s">
        <v>12</v>
      </c>
      <c r="C74" s="21" t="s">
        <v>80</v>
      </c>
      <c r="D74" s="19">
        <v>15</v>
      </c>
      <c r="E74" s="24"/>
      <c r="F74" s="30">
        <f t="shared" si="0"/>
        <v>0</v>
      </c>
    </row>
    <row r="75" spans="1:6" ht="14.4" x14ac:dyDescent="0.25">
      <c r="A75" s="29">
        <v>66</v>
      </c>
      <c r="B75" s="19" t="s">
        <v>12</v>
      </c>
      <c r="C75" s="21" t="s">
        <v>81</v>
      </c>
      <c r="D75" s="19">
        <v>60</v>
      </c>
      <c r="E75" s="24"/>
      <c r="F75" s="30">
        <f t="shared" ref="F75:F113" si="1">E75*D75</f>
        <v>0</v>
      </c>
    </row>
    <row r="76" spans="1:6" ht="14.4" x14ac:dyDescent="0.25">
      <c r="A76" s="29">
        <v>67</v>
      </c>
      <c r="B76" s="19" t="s">
        <v>30</v>
      </c>
      <c r="C76" s="21" t="s">
        <v>82</v>
      </c>
      <c r="D76" s="19">
        <v>45</v>
      </c>
      <c r="E76" s="24"/>
      <c r="F76" s="30">
        <f t="shared" si="1"/>
        <v>0</v>
      </c>
    </row>
    <row r="77" spans="1:6" ht="14.4" x14ac:dyDescent="0.25">
      <c r="A77" s="29">
        <v>68</v>
      </c>
      <c r="B77" s="19" t="s">
        <v>12</v>
      </c>
      <c r="C77" s="21" t="s">
        <v>83</v>
      </c>
      <c r="D77" s="19">
        <v>25</v>
      </c>
      <c r="E77" s="24"/>
      <c r="F77" s="30">
        <f t="shared" si="1"/>
        <v>0</v>
      </c>
    </row>
    <row r="78" spans="1:6" ht="14.4" x14ac:dyDescent="0.25">
      <c r="A78" s="29">
        <v>69</v>
      </c>
      <c r="B78" s="19" t="s">
        <v>30</v>
      </c>
      <c r="C78" s="21" t="s">
        <v>84</v>
      </c>
      <c r="D78" s="19">
        <v>45</v>
      </c>
      <c r="E78" s="24"/>
      <c r="F78" s="30">
        <f t="shared" si="1"/>
        <v>0</v>
      </c>
    </row>
    <row r="79" spans="1:6" ht="14.4" x14ac:dyDescent="0.25">
      <c r="A79" s="31">
        <v>70</v>
      </c>
      <c r="B79" s="19" t="s">
        <v>30</v>
      </c>
      <c r="C79" s="21" t="s">
        <v>85</v>
      </c>
      <c r="D79" s="19">
        <v>25</v>
      </c>
      <c r="E79" s="24"/>
      <c r="F79" s="30">
        <f t="shared" si="1"/>
        <v>0</v>
      </c>
    </row>
    <row r="80" spans="1:6" ht="14.4" x14ac:dyDescent="0.25">
      <c r="A80" s="31">
        <v>71</v>
      </c>
      <c r="B80" s="19" t="s">
        <v>30</v>
      </c>
      <c r="C80" s="21" t="s">
        <v>86</v>
      </c>
      <c r="D80" s="19">
        <v>45</v>
      </c>
      <c r="E80" s="24"/>
      <c r="F80" s="30">
        <f t="shared" si="1"/>
        <v>0</v>
      </c>
    </row>
    <row r="81" spans="1:6" ht="14.4" x14ac:dyDescent="0.25">
      <c r="A81" s="31">
        <v>72</v>
      </c>
      <c r="B81" s="19" t="s">
        <v>30</v>
      </c>
      <c r="C81" s="21" t="s">
        <v>87</v>
      </c>
      <c r="D81" s="19">
        <v>60</v>
      </c>
      <c r="E81" s="24"/>
      <c r="F81" s="30">
        <f t="shared" si="1"/>
        <v>0</v>
      </c>
    </row>
    <row r="82" spans="1:6" ht="14.4" x14ac:dyDescent="0.25">
      <c r="A82" s="31">
        <v>73</v>
      </c>
      <c r="B82" s="19" t="s">
        <v>30</v>
      </c>
      <c r="C82" s="21" t="s">
        <v>88</v>
      </c>
      <c r="D82" s="19">
        <v>45</v>
      </c>
      <c r="E82" s="24"/>
      <c r="F82" s="30">
        <f t="shared" si="1"/>
        <v>0</v>
      </c>
    </row>
    <row r="83" spans="1:6" ht="14.4" x14ac:dyDescent="0.25">
      <c r="A83" s="31">
        <v>74</v>
      </c>
      <c r="B83" s="19" t="s">
        <v>12</v>
      </c>
      <c r="C83" s="21" t="s">
        <v>89</v>
      </c>
      <c r="D83" s="19">
        <v>75</v>
      </c>
      <c r="E83" s="24"/>
      <c r="F83" s="30">
        <f t="shared" si="1"/>
        <v>0</v>
      </c>
    </row>
    <row r="84" spans="1:6" ht="14.4" x14ac:dyDescent="0.25">
      <c r="A84" s="31">
        <v>75</v>
      </c>
      <c r="B84" s="19" t="s">
        <v>30</v>
      </c>
      <c r="C84" s="21" t="s">
        <v>90</v>
      </c>
      <c r="D84" s="19">
        <v>10</v>
      </c>
      <c r="E84" s="24"/>
      <c r="F84" s="30">
        <f t="shared" si="1"/>
        <v>0</v>
      </c>
    </row>
    <row r="85" spans="1:6" ht="14.4" x14ac:dyDescent="0.25">
      <c r="A85" s="31">
        <v>76</v>
      </c>
      <c r="B85" s="19" t="s">
        <v>30</v>
      </c>
      <c r="C85" s="21" t="s">
        <v>91</v>
      </c>
      <c r="D85" s="19">
        <v>50</v>
      </c>
      <c r="E85" s="24"/>
      <c r="F85" s="30">
        <f t="shared" si="1"/>
        <v>0</v>
      </c>
    </row>
    <row r="86" spans="1:6" ht="14.4" x14ac:dyDescent="0.25">
      <c r="A86" s="31">
        <v>77</v>
      </c>
      <c r="B86" s="19" t="s">
        <v>30</v>
      </c>
      <c r="C86" s="21" t="s">
        <v>92</v>
      </c>
      <c r="D86" s="19">
        <v>50</v>
      </c>
      <c r="E86" s="24"/>
      <c r="F86" s="30">
        <f t="shared" si="1"/>
        <v>0</v>
      </c>
    </row>
    <row r="87" spans="1:6" ht="14.4" x14ac:dyDescent="0.25">
      <c r="A87" s="31">
        <v>78</v>
      </c>
      <c r="B87" s="19" t="s">
        <v>30</v>
      </c>
      <c r="C87" s="21" t="s">
        <v>93</v>
      </c>
      <c r="D87" s="19">
        <v>400</v>
      </c>
      <c r="E87" s="24"/>
      <c r="F87" s="30">
        <f t="shared" si="1"/>
        <v>0</v>
      </c>
    </row>
    <row r="88" spans="1:6" ht="14.4" x14ac:dyDescent="0.25">
      <c r="A88" s="31">
        <v>79</v>
      </c>
      <c r="B88" s="19" t="s">
        <v>30</v>
      </c>
      <c r="C88" s="21" t="s">
        <v>94</v>
      </c>
      <c r="D88" s="19">
        <v>25</v>
      </c>
      <c r="E88" s="24"/>
      <c r="F88" s="30">
        <f t="shared" si="1"/>
        <v>0</v>
      </c>
    </row>
    <row r="89" spans="1:6" ht="14.4" x14ac:dyDescent="0.25">
      <c r="A89" s="31">
        <v>80</v>
      </c>
      <c r="B89" s="19" t="s">
        <v>12</v>
      </c>
      <c r="C89" s="21" t="s">
        <v>95</v>
      </c>
      <c r="D89" s="19">
        <v>40</v>
      </c>
      <c r="E89" s="24"/>
      <c r="F89" s="30">
        <f t="shared" si="1"/>
        <v>0</v>
      </c>
    </row>
    <row r="90" spans="1:6" ht="14.4" x14ac:dyDescent="0.25">
      <c r="A90" s="31">
        <v>81</v>
      </c>
      <c r="B90" s="19" t="s">
        <v>12</v>
      </c>
      <c r="C90" s="21" t="s">
        <v>96</v>
      </c>
      <c r="D90" s="19">
        <v>50</v>
      </c>
      <c r="E90" s="24"/>
      <c r="F90" s="30">
        <f t="shared" si="1"/>
        <v>0</v>
      </c>
    </row>
    <row r="91" spans="1:6" ht="14.4" x14ac:dyDescent="0.25">
      <c r="A91" s="31">
        <v>82</v>
      </c>
      <c r="B91" s="19" t="s">
        <v>30</v>
      </c>
      <c r="C91" s="21" t="s">
        <v>97</v>
      </c>
      <c r="D91" s="19">
        <v>50</v>
      </c>
      <c r="E91" s="24"/>
      <c r="F91" s="30">
        <f t="shared" si="1"/>
        <v>0</v>
      </c>
    </row>
    <row r="92" spans="1:6" ht="14.4" x14ac:dyDescent="0.25">
      <c r="A92" s="31">
        <v>83</v>
      </c>
      <c r="B92" s="19" t="s">
        <v>30</v>
      </c>
      <c r="C92" s="21" t="s">
        <v>98</v>
      </c>
      <c r="D92" s="19">
        <v>3500</v>
      </c>
      <c r="E92" s="24"/>
      <c r="F92" s="30">
        <f t="shared" si="1"/>
        <v>0</v>
      </c>
    </row>
    <row r="93" spans="1:6" ht="14.4" x14ac:dyDescent="0.25">
      <c r="A93" s="31">
        <v>84</v>
      </c>
      <c r="B93" s="19" t="s">
        <v>30</v>
      </c>
      <c r="C93" s="21" t="s">
        <v>99</v>
      </c>
      <c r="D93" s="19">
        <v>900</v>
      </c>
      <c r="E93" s="24"/>
      <c r="F93" s="30">
        <f t="shared" si="1"/>
        <v>0</v>
      </c>
    </row>
    <row r="94" spans="1:6" ht="14.4" x14ac:dyDescent="0.25">
      <c r="A94" s="31">
        <v>85</v>
      </c>
      <c r="B94" s="19" t="s">
        <v>30</v>
      </c>
      <c r="C94" s="21" t="s">
        <v>100</v>
      </c>
      <c r="D94" s="19">
        <v>700</v>
      </c>
      <c r="E94" s="24"/>
      <c r="F94" s="30">
        <f t="shared" si="1"/>
        <v>0</v>
      </c>
    </row>
    <row r="95" spans="1:6" ht="14.4" x14ac:dyDescent="0.25">
      <c r="A95" s="31">
        <v>86</v>
      </c>
      <c r="B95" s="19" t="s">
        <v>30</v>
      </c>
      <c r="C95" s="21" t="s">
        <v>101</v>
      </c>
      <c r="D95" s="19">
        <v>1200</v>
      </c>
      <c r="E95" s="24"/>
      <c r="F95" s="30">
        <f t="shared" si="1"/>
        <v>0</v>
      </c>
    </row>
    <row r="96" spans="1:6" ht="14.4" x14ac:dyDescent="0.25">
      <c r="A96" s="31">
        <v>87</v>
      </c>
      <c r="B96" s="19" t="s">
        <v>30</v>
      </c>
      <c r="C96" s="21" t="s">
        <v>102</v>
      </c>
      <c r="D96" s="19">
        <v>1500</v>
      </c>
      <c r="E96" s="24"/>
      <c r="F96" s="30">
        <f t="shared" si="1"/>
        <v>0</v>
      </c>
    </row>
    <row r="97" spans="1:6" ht="14.4" x14ac:dyDescent="0.25">
      <c r="A97" s="31">
        <v>88</v>
      </c>
      <c r="B97" s="19" t="s">
        <v>12</v>
      </c>
      <c r="C97" s="21" t="s">
        <v>103</v>
      </c>
      <c r="D97" s="19">
        <v>35</v>
      </c>
      <c r="E97" s="24"/>
      <c r="F97" s="30">
        <f t="shared" si="1"/>
        <v>0</v>
      </c>
    </row>
    <row r="98" spans="1:6" ht="14.4" x14ac:dyDescent="0.25">
      <c r="A98" s="31">
        <v>89</v>
      </c>
      <c r="B98" s="19" t="s">
        <v>12</v>
      </c>
      <c r="C98" s="21" t="s">
        <v>104</v>
      </c>
      <c r="D98" s="19">
        <v>5</v>
      </c>
      <c r="E98" s="24"/>
      <c r="F98" s="30">
        <f t="shared" si="1"/>
        <v>0</v>
      </c>
    </row>
    <row r="99" spans="1:6" ht="14.4" x14ac:dyDescent="0.25">
      <c r="A99" s="31">
        <v>90</v>
      </c>
      <c r="B99" s="19" t="s">
        <v>12</v>
      </c>
      <c r="C99" s="21" t="s">
        <v>105</v>
      </c>
      <c r="D99" s="19">
        <v>60</v>
      </c>
      <c r="E99" s="24"/>
      <c r="F99" s="30">
        <f t="shared" si="1"/>
        <v>0</v>
      </c>
    </row>
    <row r="100" spans="1:6" ht="14.4" x14ac:dyDescent="0.25">
      <c r="A100" s="31">
        <v>91</v>
      </c>
      <c r="B100" s="19" t="s">
        <v>12</v>
      </c>
      <c r="C100" s="21" t="s">
        <v>106</v>
      </c>
      <c r="D100" s="19">
        <v>15</v>
      </c>
      <c r="E100" s="24"/>
      <c r="F100" s="30">
        <f t="shared" si="1"/>
        <v>0</v>
      </c>
    </row>
    <row r="101" spans="1:6" ht="14.4" x14ac:dyDescent="0.25">
      <c r="A101" s="31">
        <v>92</v>
      </c>
      <c r="B101" s="19" t="s">
        <v>12</v>
      </c>
      <c r="C101" s="21" t="s">
        <v>107</v>
      </c>
      <c r="D101" s="19">
        <v>25</v>
      </c>
      <c r="E101" s="24"/>
      <c r="F101" s="30">
        <f t="shared" si="1"/>
        <v>0</v>
      </c>
    </row>
    <row r="102" spans="1:6" ht="14.4" x14ac:dyDescent="0.25">
      <c r="A102" s="31">
        <v>93</v>
      </c>
      <c r="B102" s="19" t="s">
        <v>12</v>
      </c>
      <c r="C102" s="21" t="s">
        <v>108</v>
      </c>
      <c r="D102" s="19">
        <v>25</v>
      </c>
      <c r="E102" s="24"/>
      <c r="F102" s="30">
        <f t="shared" si="1"/>
        <v>0</v>
      </c>
    </row>
    <row r="103" spans="1:6" ht="14.4" x14ac:dyDescent="0.25">
      <c r="A103" s="31">
        <v>94</v>
      </c>
      <c r="B103" s="19" t="s">
        <v>12</v>
      </c>
      <c r="C103" s="21" t="s">
        <v>109</v>
      </c>
      <c r="D103" s="19">
        <v>40</v>
      </c>
      <c r="E103" s="24"/>
      <c r="F103" s="30">
        <f t="shared" si="1"/>
        <v>0</v>
      </c>
    </row>
    <row r="104" spans="1:6" ht="14.4" x14ac:dyDescent="0.25">
      <c r="A104" s="31">
        <v>95</v>
      </c>
      <c r="B104" s="19" t="s">
        <v>12</v>
      </c>
      <c r="C104" s="21" t="s">
        <v>110</v>
      </c>
      <c r="D104" s="19">
        <v>20</v>
      </c>
      <c r="E104" s="24"/>
      <c r="F104" s="30">
        <f t="shared" si="1"/>
        <v>0</v>
      </c>
    </row>
    <row r="105" spans="1:6" ht="14.4" x14ac:dyDescent="0.25">
      <c r="A105" s="31">
        <v>96</v>
      </c>
      <c r="B105" s="19" t="s">
        <v>12</v>
      </c>
      <c r="C105" s="22" t="s">
        <v>111</v>
      </c>
      <c r="D105" s="19">
        <v>120</v>
      </c>
      <c r="E105" s="24"/>
      <c r="F105" s="30">
        <f t="shared" si="1"/>
        <v>0</v>
      </c>
    </row>
    <row r="106" spans="1:6" ht="14.4" x14ac:dyDescent="0.25">
      <c r="A106" s="31">
        <v>97</v>
      </c>
      <c r="B106" s="19" t="s">
        <v>30</v>
      </c>
      <c r="C106" s="21" t="s">
        <v>112</v>
      </c>
      <c r="D106" s="19">
        <v>60</v>
      </c>
      <c r="E106" s="24"/>
      <c r="F106" s="30">
        <f t="shared" si="1"/>
        <v>0</v>
      </c>
    </row>
    <row r="107" spans="1:6" ht="14.4" x14ac:dyDescent="0.25">
      <c r="A107" s="31">
        <v>98</v>
      </c>
      <c r="B107" s="19" t="s">
        <v>30</v>
      </c>
      <c r="C107" s="21" t="s">
        <v>113</v>
      </c>
      <c r="D107" s="19">
        <v>120</v>
      </c>
      <c r="E107" s="24"/>
      <c r="F107" s="30">
        <f t="shared" si="1"/>
        <v>0</v>
      </c>
    </row>
    <row r="108" spans="1:6" ht="14.4" x14ac:dyDescent="0.25">
      <c r="A108" s="31">
        <v>99</v>
      </c>
      <c r="B108" s="19" t="s">
        <v>12</v>
      </c>
      <c r="C108" s="21" t="s">
        <v>114</v>
      </c>
      <c r="D108" s="19">
        <v>20</v>
      </c>
      <c r="E108" s="24"/>
      <c r="F108" s="30">
        <f t="shared" si="1"/>
        <v>0</v>
      </c>
    </row>
    <row r="109" spans="1:6" ht="14.4" x14ac:dyDescent="0.25">
      <c r="A109" s="31">
        <v>100</v>
      </c>
      <c r="B109" s="19" t="s">
        <v>12</v>
      </c>
      <c r="C109" s="21" t="s">
        <v>115</v>
      </c>
      <c r="D109" s="19">
        <v>20</v>
      </c>
      <c r="E109" s="24"/>
      <c r="F109" s="30">
        <f t="shared" si="1"/>
        <v>0</v>
      </c>
    </row>
    <row r="110" spans="1:6" ht="14.4" x14ac:dyDescent="0.25">
      <c r="A110" s="31">
        <v>101</v>
      </c>
      <c r="B110" s="19" t="s">
        <v>30</v>
      </c>
      <c r="C110" s="21" t="s">
        <v>116</v>
      </c>
      <c r="D110" s="19">
        <v>20</v>
      </c>
      <c r="E110" s="24"/>
      <c r="F110" s="30">
        <f t="shared" si="1"/>
        <v>0</v>
      </c>
    </row>
    <row r="111" spans="1:6" ht="14.4" x14ac:dyDescent="0.25">
      <c r="A111" s="31">
        <v>102</v>
      </c>
      <c r="B111" s="19" t="s">
        <v>30</v>
      </c>
      <c r="C111" s="21" t="s">
        <v>117</v>
      </c>
      <c r="D111" s="19">
        <v>20</v>
      </c>
      <c r="E111" s="24"/>
      <c r="F111" s="30">
        <f t="shared" si="1"/>
        <v>0</v>
      </c>
    </row>
    <row r="112" spans="1:6" ht="14.4" x14ac:dyDescent="0.25">
      <c r="A112" s="31">
        <v>103</v>
      </c>
      <c r="B112" s="19" t="s">
        <v>30</v>
      </c>
      <c r="C112" s="21" t="s">
        <v>118</v>
      </c>
      <c r="D112" s="19">
        <v>20</v>
      </c>
      <c r="E112" s="24"/>
      <c r="F112" s="30">
        <f t="shared" si="1"/>
        <v>0</v>
      </c>
    </row>
    <row r="113" spans="1:6" ht="14.4" x14ac:dyDescent="0.25">
      <c r="A113" s="31">
        <v>104</v>
      </c>
      <c r="B113" s="19" t="s">
        <v>30</v>
      </c>
      <c r="C113" s="21" t="s">
        <v>119</v>
      </c>
      <c r="D113" s="19">
        <v>20</v>
      </c>
      <c r="E113" s="24"/>
      <c r="F113" s="30">
        <f t="shared" si="1"/>
        <v>0</v>
      </c>
    </row>
    <row r="114" spans="1:6" ht="16.2" thickBot="1" x14ac:dyDescent="0.35">
      <c r="A114" s="1"/>
      <c r="B114" s="26"/>
      <c r="C114" s="32" t="s">
        <v>120</v>
      </c>
      <c r="D114" s="33"/>
      <c r="E114" s="33"/>
      <c r="F114" s="23">
        <f>SUM(F10:F113)</f>
        <v>0</v>
      </c>
    </row>
    <row r="115" spans="1:6" ht="14.4" thickTop="1" x14ac:dyDescent="0.3">
      <c r="A115" s="1"/>
      <c r="B115" s="26"/>
      <c r="C115" s="26"/>
      <c r="D115" s="26"/>
      <c r="E115" s="26"/>
      <c r="F115" s="2"/>
    </row>
    <row r="116" spans="1:6" ht="14.4" x14ac:dyDescent="0.3">
      <c r="A116" s="1"/>
      <c r="B116" s="26"/>
      <c r="C116" s="36" t="s">
        <v>121</v>
      </c>
      <c r="D116" s="37"/>
      <c r="E116" s="38" t="s">
        <v>122</v>
      </c>
      <c r="F116" s="2"/>
    </row>
    <row r="117" spans="1:6" ht="14.4" x14ac:dyDescent="0.3">
      <c r="A117" s="1"/>
      <c r="B117" s="26"/>
      <c r="C117" s="39" t="s">
        <v>123</v>
      </c>
      <c r="D117" s="40"/>
      <c r="E117" s="38" t="s">
        <v>122</v>
      </c>
      <c r="F117" s="2"/>
    </row>
    <row r="118" spans="1:6" ht="33.450000000000003" customHeight="1" x14ac:dyDescent="0.3">
      <c r="A118" s="3"/>
      <c r="B118" s="4"/>
      <c r="C118" s="50" t="s">
        <v>124</v>
      </c>
      <c r="D118" s="50"/>
      <c r="E118" s="50"/>
      <c r="F118" s="51"/>
    </row>
    <row r="119" spans="1:6" ht="18.45" customHeight="1" x14ac:dyDescent="0.3">
      <c r="A119" s="6"/>
      <c r="B119" s="25"/>
      <c r="C119" s="52" t="s">
        <v>125</v>
      </c>
      <c r="D119" s="52"/>
      <c r="E119" s="52"/>
      <c r="F119" s="41"/>
    </row>
    <row r="120" spans="1:6" ht="18.45" customHeight="1" x14ac:dyDescent="0.3">
      <c r="A120" s="6"/>
      <c r="B120" s="25"/>
      <c r="C120" s="42" t="s">
        <v>126</v>
      </c>
      <c r="D120" s="43"/>
      <c r="E120" s="43"/>
      <c r="F120" s="41"/>
    </row>
    <row r="121" spans="1:6" ht="18.45" customHeight="1" x14ac:dyDescent="0.3">
      <c r="A121" s="6"/>
      <c r="B121" s="25"/>
      <c r="C121" s="43" t="s">
        <v>127</v>
      </c>
      <c r="D121" s="43"/>
      <c r="E121" s="43"/>
      <c r="F121" s="41"/>
    </row>
    <row r="122" spans="1:6" ht="18.45" customHeight="1" x14ac:dyDescent="0.3">
      <c r="A122" s="6"/>
      <c r="B122" s="25"/>
      <c r="C122" s="43" t="s">
        <v>128</v>
      </c>
      <c r="D122" s="43"/>
      <c r="E122" s="43"/>
      <c r="F122" s="41"/>
    </row>
    <row r="123" spans="1:6" ht="14.4" thickBot="1" x14ac:dyDescent="0.35">
      <c r="A123" s="11"/>
      <c r="B123" s="12"/>
      <c r="C123" s="12"/>
      <c r="D123" s="12"/>
      <c r="E123" s="12"/>
      <c r="F123" s="13"/>
    </row>
  </sheetData>
  <mergeCells count="4">
    <mergeCell ref="A1:F1"/>
    <mergeCell ref="A7:F7"/>
    <mergeCell ref="C118:F118"/>
    <mergeCell ref="C119:E119"/>
  </mergeCells>
  <phoneticPr fontId="0" type="noConversion"/>
  <hyperlinks>
    <hyperlink ref="C105" r:id="rId1" display="https://s1.ariba.com/Buyer/Main/aw?awh=r&amp;awssk=4ScHTBFx&amp;realm=pampaysubsidiarias&amp;dard=1" xr:uid="{00000000-0004-0000-0000-000000000000}"/>
    <hyperlink ref="C103" r:id="rId2" display="https://s1.ariba.com/Buyer/Main/aw?awh=r&amp;awssk=XhSRCjZV&amp;realm=pampaysubsidiarias&amp;dard=1" xr:uid="{00000000-0004-0000-0000-000001000000}"/>
    <hyperlink ref="C102" r:id="rId3" display="https://s1.ariba.com/Buyer/Main/aw?awh=r&amp;awssk=XhSRCjZV&amp;realm=pampaysubsidiarias&amp;dard=1" xr:uid="{00000000-0004-0000-0000-000002000000}"/>
    <hyperlink ref="C101" r:id="rId4" display="https://s1.ariba.com/Buyer/Main/aw?awh=r&amp;awssk=XhSRCjZV&amp;realm=pampaysubsidiarias&amp;dard=1" xr:uid="{00000000-0004-0000-0000-000003000000}"/>
  </hyperlinks>
  <pageMargins left="0.25" right="0.25" top="0.75" bottom="0.75" header="0.3" footer="0.3"/>
  <pageSetup paperSize="9" scale="96" orientation="landscape" r:id="rId5"/>
  <headerFooter alignWithMargins="0">
    <oddFooter>&amp;F</oddFooter>
  </headerFooter>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33203125"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9.33203125" defaultRowHeight="13.2" x14ac:dyDescent="0.2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ED3DDA1174714AA8A0ADD53719743E" ma:contentTypeVersion="10" ma:contentTypeDescription="Crear nuevo documento." ma:contentTypeScope="" ma:versionID="ba225e06a36ee55f4dded745d06045e9">
  <xsd:schema xmlns:xsd="http://www.w3.org/2001/XMLSchema" xmlns:xs="http://www.w3.org/2001/XMLSchema" xmlns:p="http://schemas.microsoft.com/office/2006/metadata/properties" xmlns:ns2="7b6c7bf8-4ce7-4db2-81a6-3f2fb3ee6412" xmlns:ns3="cf1c41ac-5426-47ae-a216-78ef3a736f94" targetNamespace="http://schemas.microsoft.com/office/2006/metadata/properties" ma:root="true" ma:fieldsID="80cdbe2e6ba9db2b3b4464925d0e7b98" ns2:_="" ns3:_="">
    <xsd:import namespace="7b6c7bf8-4ce7-4db2-81a6-3f2fb3ee6412"/>
    <xsd:import namespace="cf1c41ac-5426-47ae-a216-78ef3a736f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6c7bf8-4ce7-4db2-81a6-3f2fb3ee64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05bde99-f911-48db-a36f-21ff87b478f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1c41ac-5426-47ae-a216-78ef3a736f9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d6f33e-8020-4e03-9a6f-497468dfdacc}" ma:internalName="TaxCatchAll" ma:showField="CatchAllData" ma:web="cf1c41ac-5426-47ae-a216-78ef3a736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f1c41ac-5426-47ae-a216-78ef3a736f94" xsi:nil="true"/>
    <lcf76f155ced4ddcb4097134ff3c332f xmlns="7b6c7bf8-4ce7-4db2-81a6-3f2fb3ee641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A2D312-CD37-48DA-ACE1-B5BDF4FB80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6c7bf8-4ce7-4db2-81a6-3f2fb3ee6412"/>
    <ds:schemaRef ds:uri="cf1c41ac-5426-47ae-a216-78ef3a736f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1EA36B-BE09-48D8-87BC-E1B010F536E6}">
  <ds:schemaRefs>
    <ds:schemaRef ds:uri="http://schemas.microsoft.com/office/2006/metadata/properties"/>
    <ds:schemaRef ds:uri="http://schemas.microsoft.com/office/infopath/2007/PartnerControls"/>
    <ds:schemaRef ds:uri="cf1c41ac-5426-47ae-a216-78ef3a736f94"/>
    <ds:schemaRef ds:uri="7b6c7bf8-4ce7-4db2-81a6-3f2fb3ee6412"/>
  </ds:schemaRefs>
</ds:datastoreItem>
</file>

<file path=customXml/itemProps3.xml><?xml version="1.0" encoding="utf-8"?>
<ds:datastoreItem xmlns:ds="http://schemas.openxmlformats.org/officeDocument/2006/customXml" ds:itemID="{A2949362-AF48-457C-A34D-5D25E00852B6}">
  <ds:schemaRefs>
    <ds:schemaRef ds:uri="http://schemas.microsoft.com/sharepoint/v3/contenttype/forms"/>
  </ds:schemaRefs>
</ds:datastoreItem>
</file>

<file path=docMetadata/LabelInfo.xml><?xml version="1.0" encoding="utf-8"?>
<clbl:labelList xmlns:clbl="http://schemas.microsoft.com/office/2020/mipLabelMetadata">
  <clbl:label id="{eef41338-8caf-4011-87bf-ff1c9c425f9e}" enabled="0" method="" siteId="{eef41338-8caf-4011-87bf-ff1c9c425f9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Sheet1</vt:lpstr>
      <vt:lpstr>Sheet2</vt:lpstr>
      <vt:lpstr>Sheet3</vt:lpstr>
      <vt:lpstr>Sheet1!Área_de_impresión</vt:lpstr>
    </vt:vector>
  </TitlesOfParts>
  <Manager/>
  <Company>Petrobras Energía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Petrobras Energía S.A.</dc:creator>
  <cp:keywords/>
  <dc:description/>
  <cp:lastModifiedBy>Sebastien Martinet (IMA Argentina - Holdas Latam)</cp:lastModifiedBy>
  <cp:revision/>
  <dcterms:created xsi:type="dcterms:W3CDTF">2008-12-22T16:41:52Z</dcterms:created>
  <dcterms:modified xsi:type="dcterms:W3CDTF">2026-06-25T21:35:25Z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0x01010018ED3DDA1174714AA8A0ADD53719743E</vt:lpwstr>
  </property>
  <property fmtid="{D5CDD505-2E9C-101B-9397-08002B2CF9AE}" pid="3" name="xd_Signature">
    <vt:bool>false</vt:bool>
  </property>
  <property fmtid="{D5CDD505-2E9C-101B-9397-08002B2CF9AE}" pid="4" name="xd_ProgID">
    <vt:lpwstr/>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