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\\pfsnas01\pesa\PESA_CSER_RHUM_RLAB\Reservada\Rrll\Procedimiento Gestión Documental de Contratistas\Mejoras\Revisiones finales\"/>
    </mc:Choice>
  </mc:AlternateContent>
  <xr:revisionPtr revIDLastSave="0" documentId="13_ncr:1_{E8A4A8B2-72A7-4CB8-8D14-3837CCD1C636}" xr6:coauthVersionLast="47" xr6:coauthVersionMax="47" xr10:uidLastSave="{00000000-0000-0000-0000-000000000000}"/>
  <workbookProtection workbookAlgorithmName="SHA-512" workbookHashValue="sOwgKjXuHtRy8r9hg01f0wTeRti1Mkb7irtp9gK5wqStFqBYHBXMHZuy7dRhbXs3kg0P9DvjeTKbsdA5KMOflw==" workbookSaltValue="s0YUEy4ev9scCNBC1C/46w==" workbookSpinCount="100000" lockStructure="1"/>
  <bookViews>
    <workbookView xWindow="-110" yWindow="-110" windowWidth="19420" windowHeight="10420" xr2:uid="{00000000-000D-0000-FFFF-FFFF00000000}"/>
  </bookViews>
  <sheets>
    <sheet name="Datos del contrato" sheetId="1" r:id="rId1"/>
    <sheet name="Tablas" sheetId="6" state="hidden" r:id="rId2"/>
    <sheet name="Hoja1" sheetId="7" state="hidden" r:id="rId3"/>
  </sheets>
  <definedNames>
    <definedName name="_xlnm.Print_Area" localSheetId="0">'Datos del contrato'!$B$1:$V$127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6" i="1" l="1"/>
  <c r="AC36" i="1"/>
  <c r="S5" i="6" l="1"/>
  <c r="S4" i="6"/>
  <c r="S6" i="6"/>
  <c r="B9" i="6"/>
  <c r="B8" i="6"/>
  <c r="B7" i="6"/>
  <c r="B6" i="6"/>
  <c r="B5" i="6"/>
  <c r="B4" i="6"/>
  <c r="O60" i="1"/>
  <c r="Z38" i="1" l="1"/>
  <c r="Z40" i="1" s="1"/>
  <c r="Z111" i="1" l="1"/>
  <c r="AB60" i="1"/>
  <c r="AB58" i="1"/>
  <c r="AB56" i="1"/>
  <c r="AB54" i="1"/>
  <c r="AB52" i="1"/>
  <c r="AB50" i="1"/>
  <c r="AB48" i="1"/>
  <c r="AB46" i="1"/>
  <c r="AB44" i="1"/>
  <c r="AB42" i="1"/>
  <c r="AB40" i="1"/>
  <c r="AB36" i="1"/>
  <c r="AC32" i="1"/>
  <c r="AB32" i="1"/>
  <c r="AC30" i="1"/>
  <c r="AB30" i="1"/>
  <c r="AD28" i="1"/>
  <c r="AC28" i="1"/>
  <c r="AB28" i="1"/>
  <c r="AC26" i="1"/>
  <c r="AB26" i="1"/>
  <c r="AC24" i="1"/>
  <c r="AB24" i="1"/>
  <c r="AC20" i="1"/>
  <c r="AB20" i="1"/>
  <c r="AC18" i="1"/>
  <c r="AB18" i="1"/>
  <c r="AC16" i="1"/>
  <c r="AB16" i="1"/>
  <c r="AC14" i="1"/>
  <c r="AB14" i="1"/>
  <c r="AB12" i="1"/>
  <c r="AE12" i="1" s="1"/>
  <c r="X12" i="1" s="1"/>
  <c r="AB10" i="1"/>
  <c r="AE10" i="1" s="1"/>
  <c r="X10" i="1" s="1"/>
  <c r="AC6" i="1"/>
  <c r="AB6" i="1"/>
  <c r="AE32" i="1" l="1"/>
  <c r="X32" i="1" s="1"/>
  <c r="AE36" i="1"/>
  <c r="X36" i="1" s="1"/>
  <c r="AE30" i="1"/>
  <c r="X30" i="1" s="1"/>
  <c r="AE28" i="1"/>
  <c r="X28" i="1" s="1"/>
  <c r="AE26" i="1"/>
  <c r="X26" i="1" s="1"/>
  <c r="AE24" i="1"/>
  <c r="X24" i="1" s="1"/>
  <c r="AE20" i="1"/>
  <c r="X20" i="1" s="1"/>
  <c r="AE18" i="1"/>
  <c r="X18" i="1" s="1"/>
  <c r="AE16" i="1"/>
  <c r="X16" i="1" s="1"/>
  <c r="AE14" i="1"/>
  <c r="X14" i="1" s="1"/>
  <c r="AB62" i="1"/>
  <c r="X40" i="1" s="1"/>
  <c r="AE6" i="1"/>
  <c r="X6" i="1" s="1"/>
  <c r="Z115" i="1"/>
  <c r="K5" i="6" l="1"/>
  <c r="K6" i="6"/>
  <c r="K7" i="6"/>
  <c r="K8" i="6"/>
  <c r="K9" i="6"/>
  <c r="K10" i="6"/>
  <c r="K11" i="6"/>
  <c r="K12" i="6"/>
  <c r="K13" i="6"/>
  <c r="K14" i="6"/>
  <c r="K4" i="6"/>
  <c r="O52" i="1"/>
  <c r="O50" i="1"/>
  <c r="K15" i="6" l="1"/>
  <c r="O42" i="1" s="1"/>
  <c r="O40" i="1" l="1"/>
  <c r="O46" i="1"/>
  <c r="O44" i="1"/>
  <c r="O62" i="1"/>
  <c r="O58" i="1"/>
  <c r="O56" i="1"/>
  <c r="O54" i="1"/>
  <c r="O48" i="1"/>
  <c r="U42" i="1"/>
  <c r="U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Rodriguez</author>
  </authors>
  <commentList>
    <comment ref="Z113" authorId="0" shapeId="0" xr:uid="{00000000-0006-0000-0000-000001000000}">
      <text>
        <r>
          <rPr>
            <b/>
            <sz val="8"/>
            <color indexed="81"/>
            <rFont val="Calibri"/>
            <family val="2"/>
            <scheme val="minor"/>
          </rPr>
          <t>Ingrese la cotización BNA, de dólar USA</t>
        </r>
      </text>
    </comment>
  </commentList>
</comments>
</file>

<file path=xl/sharedStrings.xml><?xml version="1.0" encoding="utf-8"?>
<sst xmlns="http://schemas.openxmlformats.org/spreadsheetml/2006/main" count="365" uniqueCount="241">
  <si>
    <t>Aplicable a todos independientemente de la tarea</t>
  </si>
  <si>
    <t>Conducción de Grúas, Autoelevadores, Motopala, etc</t>
  </si>
  <si>
    <t>Altura</t>
  </si>
  <si>
    <t>Ruido</t>
  </si>
  <si>
    <t>Partículas (polvo, Asbesto)</t>
  </si>
  <si>
    <t>Vibraciones</t>
  </si>
  <si>
    <t>Exposiciòn quimicos e hidrocarburos</t>
  </si>
  <si>
    <t>Esfuerzo con Columna Lumbosacra</t>
  </si>
  <si>
    <t>Espacio confinado</t>
  </si>
  <si>
    <t>Brigadista</t>
  </si>
  <si>
    <t xml:space="preserve">Exposición a manejo de vehículos pesados o livianos </t>
  </si>
  <si>
    <t>Permanente</t>
  </si>
  <si>
    <t>Esporádico</t>
  </si>
  <si>
    <t>x</t>
  </si>
  <si>
    <t>RX. Torax (F)</t>
  </si>
  <si>
    <t>Electrocardiograma
(E.C.G)</t>
  </si>
  <si>
    <t>E.E.G. Informado</t>
  </si>
  <si>
    <t>Exámen Clínico Neurológico Osteoarticular y circulatorio</t>
  </si>
  <si>
    <t>Audiometría</t>
  </si>
  <si>
    <t>Espirometría con
evaluación neumológica</t>
  </si>
  <si>
    <t>Rx. Columna Lumbosacra
F y P</t>
  </si>
  <si>
    <t>Ergometria con evaluación cardiológica</t>
  </si>
  <si>
    <t>EX. Psicologico (aptitud psicofisica)</t>
  </si>
  <si>
    <t>Electro nistagmografía</t>
  </si>
  <si>
    <t>Psicotécnico específico
para ser brigadista</t>
  </si>
  <si>
    <t>Hepatograma</t>
  </si>
  <si>
    <t>Metabolito en orina</t>
  </si>
  <si>
    <t>Tabla I</t>
  </si>
  <si>
    <t>Tabla II</t>
  </si>
  <si>
    <t>Tabla III</t>
  </si>
  <si>
    <t>Tabla IV</t>
  </si>
  <si>
    <t>si</t>
  </si>
  <si>
    <t>Q1</t>
  </si>
  <si>
    <t>Ar$</t>
  </si>
  <si>
    <t>Programado</t>
  </si>
  <si>
    <t>no</t>
  </si>
  <si>
    <t>Q2</t>
  </si>
  <si>
    <t>u$s</t>
  </si>
  <si>
    <t>Q3</t>
  </si>
  <si>
    <t>Q4</t>
  </si>
  <si>
    <t>Fecha:</t>
  </si>
  <si>
    <t xml:space="preserve">Servicio / Obra : </t>
  </si>
  <si>
    <t xml:space="preserve">Planta / Yacimiento: </t>
  </si>
  <si>
    <t xml:space="preserve">Fecha Inicio: </t>
  </si>
  <si>
    <t xml:space="preserve">Fecha Finalización: </t>
  </si>
  <si>
    <t>Gestor de contrato:</t>
  </si>
  <si>
    <t xml:space="preserve">   Responsable contrato:</t>
  </si>
  <si>
    <t xml:space="preserve">   Riesgo:</t>
  </si>
  <si>
    <t>Tareas/Exposición:</t>
  </si>
  <si>
    <t xml:space="preserve">Estudios: </t>
  </si>
  <si>
    <t xml:space="preserve">Examen físico completo </t>
  </si>
  <si>
    <t xml:space="preserve">Laboratorio </t>
  </si>
  <si>
    <t>Estireno</t>
  </si>
  <si>
    <t>Etilbenceno</t>
  </si>
  <si>
    <t>Benceno</t>
  </si>
  <si>
    <t>Acrilonitrilo</t>
  </si>
  <si>
    <t>Fenol</t>
  </si>
  <si>
    <t>Hexano</t>
  </si>
  <si>
    <t>Tolueno</t>
  </si>
  <si>
    <t>Xilenos</t>
  </si>
  <si>
    <t>Metabolitos de sustancias psicoactivas</t>
  </si>
  <si>
    <t>Poliza Resposabilidad Civil:</t>
  </si>
  <si>
    <t xml:space="preserve">      Monto: </t>
  </si>
  <si>
    <t xml:space="preserve">     Moneda:</t>
  </si>
  <si>
    <t>Póliza Construcción y Montaje:</t>
  </si>
  <si>
    <t>Domicilio:</t>
  </si>
  <si>
    <t xml:space="preserve">Ciudad: </t>
  </si>
  <si>
    <t>Provincia:</t>
  </si>
  <si>
    <t xml:space="preserve">Contacto: </t>
  </si>
  <si>
    <t>Teléfonos:</t>
  </si>
  <si>
    <t xml:space="preserve">E mail: </t>
  </si>
  <si>
    <t>Celular:</t>
  </si>
  <si>
    <t>0291 452 2463</t>
  </si>
  <si>
    <t>0291 452 1847</t>
  </si>
  <si>
    <t xml:space="preserve">       Mail:</t>
  </si>
  <si>
    <t xml:space="preserve">   Mail Responsable:</t>
  </si>
  <si>
    <t>Mail Gestor:</t>
  </si>
  <si>
    <t>APLICA A EMPRESA</t>
  </si>
  <si>
    <t xml:space="preserve">Matricula  pago año en curso del Resp Seguridad </t>
  </si>
  <si>
    <t>Fotocopia Responsable en Seguridad</t>
  </si>
  <si>
    <t>Programa Seguidad generico 51/97 - 911/96 (aprobado por ART)</t>
  </si>
  <si>
    <t>APLICA EMPRESA</t>
  </si>
  <si>
    <t>Induccion planta</t>
  </si>
  <si>
    <t>Programa de tareas (recepcionado por ART)</t>
  </si>
  <si>
    <t>Aviso inicio obra (recepcionado por ART)</t>
  </si>
  <si>
    <t>Constancia de capacitación sobre Normas Básicas de Seguridad de Pampa Energía SA y Sistemas de Alarmas firmadas por el Responsable de Seguridad y por cada una de las personas que ingresarán.</t>
  </si>
  <si>
    <t xml:space="preserve">Constancia de entrega y capacitación en uso de EPPs  </t>
  </si>
  <si>
    <t>Curso Capacitación Básica de Seguridad, dictada por la Cámara de Comercio de San Lorenzo. Solo aplica a los contratos encuadrados como QIII y QIV</t>
  </si>
  <si>
    <t xml:space="preserve">Titulo del tecnico en seguridad </t>
  </si>
  <si>
    <t>APLICA PERSONA</t>
  </si>
  <si>
    <t>APLICA A PERSONA</t>
  </si>
  <si>
    <t>Requisitos SMS PGSM</t>
  </si>
  <si>
    <t>Certificado RENPRE</t>
  </si>
  <si>
    <t>Certificado RePGTyORE operador</t>
  </si>
  <si>
    <t>Certificado RePGTyORE transportista</t>
  </si>
  <si>
    <t>Certificado REPSSA</t>
  </si>
  <si>
    <t>Designacion responsable seguridad</t>
  </si>
  <si>
    <t>Fichas datos seguridad</t>
  </si>
  <si>
    <t>Habilitación Serv. recoleccion de residuos</t>
  </si>
  <si>
    <t>Hoja de seguridad MSDS</t>
  </si>
  <si>
    <t>Identificación peligro y eval riesgo</t>
  </si>
  <si>
    <t>Lic. Bromatológica</t>
  </si>
  <si>
    <t>Lic. Comercial para el Control de Plagas</t>
  </si>
  <si>
    <t>Permiso Vuelco de Efluentes Cloacales</t>
  </si>
  <si>
    <t>Plan contingencia</t>
  </si>
  <si>
    <t>Procedimiento Instructivo trabajo</t>
  </si>
  <si>
    <t>Programa/Plan de Seguridad</t>
  </si>
  <si>
    <t>Capacitacion tecnica</t>
  </si>
  <si>
    <t>Capacitacion Corporativa</t>
  </si>
  <si>
    <t>Curso de Inducción</t>
  </si>
  <si>
    <t>Registro Capacitación</t>
  </si>
  <si>
    <t>Carnet manejo especial</t>
  </si>
  <si>
    <t>Const. de Entrega de Ropa de Trabajo y EPP</t>
  </si>
  <si>
    <t>Lic. Nacional de conducir.</t>
  </si>
  <si>
    <t>Lic. Nacional Habilitante (CNRT)</t>
  </si>
  <si>
    <t>Informe responsable seguridad</t>
  </si>
  <si>
    <t>Inspección arnes seguridad</t>
  </si>
  <si>
    <t>Inspección equipos izaje</t>
  </si>
  <si>
    <t>Inspección escaleras</t>
  </si>
  <si>
    <t>Inspección herramientas y maquinarias</t>
  </si>
  <si>
    <t>Inspección tableros eléctricos</t>
  </si>
  <si>
    <t>Certificado de Calibracion</t>
  </si>
  <si>
    <t>Certificado de izaje</t>
  </si>
  <si>
    <t>VTV</t>
  </si>
  <si>
    <t>Otros</t>
  </si>
  <si>
    <t>Aviso de inicio de obra</t>
  </si>
  <si>
    <t>Programa de Seguridad</t>
  </si>
  <si>
    <t>Copia de matrícula del Responsable seguridad</t>
  </si>
  <si>
    <t>Curso de buenas prácticas de manufactura</t>
  </si>
  <si>
    <t>Video de ingreso para contratistas</t>
  </si>
  <si>
    <t>Capacitación técnica básica SMS</t>
  </si>
  <si>
    <t>Capacitación técnica específica SMS</t>
  </si>
  <si>
    <t>Constancia de entrega de EPP</t>
  </si>
  <si>
    <t>Información de seguridad de producto (FDS)</t>
  </si>
  <si>
    <t>Habilitación para manejo de equipos de izaje</t>
  </si>
  <si>
    <t>Control de herramientas</t>
  </si>
  <si>
    <t>Control de equipos</t>
  </si>
  <si>
    <t>Identificación de peligros y evaluación de riesgos (IPER)</t>
  </si>
  <si>
    <t>Libreta sanitaria</t>
  </si>
  <si>
    <t>Licencia de conducir</t>
  </si>
  <si>
    <t>Seguro vehículo</t>
  </si>
  <si>
    <t>Curso de manejo defensivo</t>
  </si>
  <si>
    <t>Requisitros SMS activados en Certronic</t>
  </si>
  <si>
    <t>Requisitros SMS</t>
  </si>
  <si>
    <t>Comprador:</t>
  </si>
  <si>
    <t>agregar</t>
  </si>
  <si>
    <t>Tabla VI</t>
  </si>
  <si>
    <t>Total</t>
  </si>
  <si>
    <t xml:space="preserve">Aviso de Compra / contrato N°: </t>
  </si>
  <si>
    <t>SMS</t>
  </si>
  <si>
    <t xml:space="preserve"> Anexo B.2 - Alta Contrato</t>
  </si>
  <si>
    <t>(Ariba / Compra directa)</t>
  </si>
  <si>
    <t>C-LABOREM</t>
  </si>
  <si>
    <t>0299 15 594 7741</t>
  </si>
  <si>
    <t>ecattaneo@claborem.com</t>
  </si>
  <si>
    <t>yfernandez@claborem.com</t>
  </si>
  <si>
    <r>
      <rPr>
        <b/>
        <sz val="8"/>
        <color rgb="FF000099"/>
        <rFont val="Arial"/>
        <family val="2"/>
      </rPr>
      <t>Ernestina Cattaneo</t>
    </r>
    <r>
      <rPr>
        <b/>
        <sz val="8"/>
        <color indexed="12"/>
        <rFont val="Arial"/>
        <family val="2"/>
      </rPr>
      <t xml:space="preserve"> - Int. 1401</t>
    </r>
  </si>
  <si>
    <r>
      <rPr>
        <b/>
        <sz val="8"/>
        <color rgb="FF000099"/>
        <rFont val="Arial"/>
        <family val="2"/>
      </rPr>
      <t>Yanina Fernández</t>
    </r>
    <r>
      <rPr>
        <b/>
        <sz val="8"/>
        <color indexed="12"/>
        <rFont val="Arial"/>
        <family val="2"/>
      </rPr>
      <t xml:space="preserve"> - Int. 1402</t>
    </r>
  </si>
  <si>
    <r>
      <t xml:space="preserve">Contratista </t>
    </r>
    <r>
      <rPr>
        <i/>
        <sz val="8"/>
        <rFont val="Verdana"/>
        <family val="2"/>
      </rPr>
      <t>(Razón Social)</t>
    </r>
    <r>
      <rPr>
        <b/>
        <sz val="9"/>
        <rFont val="Verdana"/>
        <family val="2"/>
      </rPr>
      <t>:</t>
    </r>
  </si>
  <si>
    <t>Número de proveedor:</t>
  </si>
  <si>
    <t>CUIT N°:</t>
  </si>
  <si>
    <t xml:space="preserve">    CP:</t>
  </si>
  <si>
    <t xml:space="preserve">Oficina de control : </t>
  </si>
  <si>
    <r>
      <t xml:space="preserve">Confecionó Anexo B-2 </t>
    </r>
    <r>
      <rPr>
        <i/>
        <sz val="7"/>
        <rFont val="Verdana"/>
        <family val="2"/>
      </rPr>
      <t>(apellido y nombres)</t>
    </r>
    <r>
      <rPr>
        <b/>
        <sz val="7"/>
        <rFont val="Verdana"/>
        <family val="2"/>
      </rPr>
      <t>:</t>
    </r>
  </si>
  <si>
    <t>Tabla V</t>
  </si>
  <si>
    <t>Seg. Resp. Civil</t>
  </si>
  <si>
    <t>Cotización U$S:</t>
  </si>
  <si>
    <t xml:space="preserve">Teléfonos de contacto: </t>
  </si>
  <si>
    <t>Designar tipo</t>
  </si>
  <si>
    <t>Definir riesgo</t>
  </si>
  <si>
    <r>
      <rPr>
        <b/>
        <i/>
        <sz val="9"/>
        <color theme="0"/>
        <rFont val="Verdana"/>
        <family val="2"/>
      </rPr>
      <t>IMPORTANTE</t>
    </r>
    <r>
      <rPr>
        <b/>
        <i/>
        <sz val="8"/>
        <color theme="0"/>
        <rFont val="Verdana"/>
        <family val="2"/>
      </rPr>
      <t>: El presente anexo debe contar con todos los datos solicitados en él, de faltar alguno no se podrá proceder con el alta.</t>
    </r>
  </si>
  <si>
    <t>Monto asegurado U$S:</t>
  </si>
  <si>
    <t>Monto asegurado $Ar:</t>
  </si>
  <si>
    <t>Definición</t>
  </si>
  <si>
    <t>Permanentes o Habituales - Contratos de obras o servicios cuya periodicidad será mensual, se realizarán en forma habitual, continuada y sin interrupciones durante la vigencia del contrato y la actividad a desarrollar demandará quince (15) o más días hábiles en cada período mensual.</t>
  </si>
  <si>
    <t>Programados - Se considerarán dentro de este grupo, aquellas contrataciones de obras o servicios que hayan sido planificadas y cuya duración sea temporal, cuentan con un inicio y fin predeterminados. (Ej. Obras, ampliaciones, paradas de planta, perforación de pozos, trabajos de exploración, y toda otra tarea asociada a las anteriores, etc.) Carácter que lo define: Tienen un inicio y un fin predeterminado y programado, responde a un plan específico.</t>
  </si>
  <si>
    <t xml:space="preserve">Esporádicos - Contratos de servicios u obras que demanden una prestación de al menos 1 (un) día y no exceda de 20 (veinte) días en el mes, tuvieren interrupciones iguales o superiores a 1 (un) mes, entre un período de prestación y el otro. Existe certeza de que el servicio se repetirá en forma mediata pudiendo ser encomendado al mismo contratista. Carácter que lo define: Ocasional y con una interrupción mínima de la actividad de un mes entre un período y el otro. </t>
  </si>
  <si>
    <t/>
  </si>
  <si>
    <t>TABLA DEFINICIÓN</t>
  </si>
  <si>
    <r>
      <t xml:space="preserve">Designe el tipo de contratista según las frecuencias de prestación de servicios u obras en: </t>
    </r>
    <r>
      <rPr>
        <b/>
        <i/>
        <sz val="5"/>
        <color theme="0"/>
        <rFont val="Calibri"/>
        <family val="2"/>
        <scheme val="minor"/>
      </rPr>
      <t>"Designar tipo"</t>
    </r>
    <r>
      <rPr>
        <sz val="5"/>
        <color theme="0"/>
        <rFont val="Calibri"/>
        <family val="2"/>
        <scheme val="minor"/>
      </rPr>
      <t>.               Consultar estandar ID 5763 - GESTÍON DE DOCUMENTACIÓN LABORAL Y 
SEGURIDAD SOCIAL DE CONTRATISTAS.</t>
    </r>
  </si>
  <si>
    <t>Otros :</t>
  </si>
  <si>
    <t>Reclamo Laboral</t>
  </si>
  <si>
    <t>Empresa no registrada en la G&amp;CC, se activa por Rec. Lab.</t>
  </si>
  <si>
    <t>Designación responsable seguridad</t>
  </si>
  <si>
    <t>Video de ingreso para contratista</t>
  </si>
  <si>
    <t>Lic. Nacional de conducir</t>
  </si>
  <si>
    <t>VTV/RTO</t>
  </si>
  <si>
    <t>Lic. Comercial control de plagas</t>
  </si>
  <si>
    <t>Habilitación REPAR-REPRIV</t>
  </si>
  <si>
    <t>Certificado técnico Hidrogrúa/Grúa</t>
  </si>
  <si>
    <t>Habilitación RENPRE</t>
  </si>
  <si>
    <t>Desinfección municipal</t>
  </si>
  <si>
    <t>Hab. Serv. Recolección residuos</t>
  </si>
  <si>
    <t>Capacitación riesgo eléctrico (Res. 905/15)</t>
  </si>
  <si>
    <t>Capacitación autocontrol preventivo (Res. 905/15)</t>
  </si>
  <si>
    <t>Capacitación uso adecuado EPP (Res. 905/15)</t>
  </si>
  <si>
    <t>Capacitación manejo de extintores (Res. 905/15)</t>
  </si>
  <si>
    <t>A demanda</t>
  </si>
  <si>
    <t>Certificado REPPSA</t>
  </si>
  <si>
    <t>Capacitación permiso de trabajo</t>
  </si>
  <si>
    <t>Habilitación agencias privadas de vigilancia - PNA</t>
  </si>
  <si>
    <t>Apto de Salud Ocupacional (Anexo B.9)</t>
  </si>
  <si>
    <t>Aviso de Inicio de Obra</t>
  </si>
  <si>
    <t>Requisitos</t>
  </si>
  <si>
    <t>Credencial Hab. Código PBIP</t>
  </si>
  <si>
    <t>GWO</t>
  </si>
  <si>
    <t>Resp. Fuentes de radiaciones</t>
  </si>
  <si>
    <t>Manipulación manual de cargas</t>
  </si>
  <si>
    <t>Manejo de productos químicos</t>
  </si>
  <si>
    <t>Ruido laboral e hipoacusia</t>
  </si>
  <si>
    <t>Primeros auxilios, reanimación cardiopulmonar y DEA</t>
  </si>
  <si>
    <t>Operador de autoelevador</t>
  </si>
  <si>
    <t>Buenas prácticas manufactura</t>
  </si>
  <si>
    <t>Tecnico en acceso por cuerdas - AATEAC</t>
  </si>
  <si>
    <t>Tecnico vertical AATTVAC</t>
  </si>
  <si>
    <t>Habilitaciones</t>
  </si>
  <si>
    <t>Procedimiento de tarea segura</t>
  </si>
  <si>
    <t>Programa de seguridad</t>
  </si>
  <si>
    <t>Designación responsable de seguridad</t>
  </si>
  <si>
    <t>Copia de matrícula del responsable seguridad</t>
  </si>
  <si>
    <t>Copia de matrícula del responsable de salud ocupacional</t>
  </si>
  <si>
    <t>Libreta sanitaria / Carnet Manipulador de Alimentos</t>
  </si>
  <si>
    <t>Certificado RePGTyORE (transportista)</t>
  </si>
  <si>
    <t>Certificado RePGTyORE (operador)</t>
  </si>
  <si>
    <t>Prestación:</t>
  </si>
  <si>
    <t>Prestación</t>
  </si>
  <si>
    <t>Obra</t>
  </si>
  <si>
    <t>Servicio</t>
  </si>
  <si>
    <t>Definir</t>
  </si>
  <si>
    <t>Información de riesgos / Responsable / Otros</t>
  </si>
  <si>
    <t>Lic. Nac. de transporte (LINTI)</t>
  </si>
  <si>
    <t>Ident. de peligros y eval. de Riesgos (IPER)</t>
  </si>
  <si>
    <t>Tipo de contrato:</t>
  </si>
  <si>
    <t>versión 8_2025</t>
  </si>
  <si>
    <t>aflores@claborem.com</t>
  </si>
  <si>
    <t>Aylen Flores</t>
  </si>
  <si>
    <t>fvera@claborem.com</t>
  </si>
  <si>
    <t>Florencia Vera</t>
  </si>
  <si>
    <t>jgravina@claborem.com</t>
  </si>
  <si>
    <t>Juan Gravina</t>
  </si>
  <si>
    <t>Contrataciones en las que el ingreso a los activos por parte de la contratista se produzca de forma excepcional, ante emergencias/urgencias técnicas, necesidades eventuales o imprevistas donde la intervención de la contratista en los activos de PAMPA no sea prolongada y no exceda los 7 días. Estas contrataciones podrían estar relacionadas con actividades como visitas técnicas, supervisión de obras o la prestación de servicios no periódicos ni regulares. Solamente podrán incluirse dentro de esta categoría aquellos casos en los que el riesgo por los servicios prestados sean Q1 o Q2.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</si>
</sst>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_ * #,##0_ ;_ * \-#,##0_ ;_ * &quot;-&quot;??_ ;_ @_ "/>
  </numFmts>
  <fonts count="6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2"/>
      <color rgb="FF0000FF"/>
      <name val="Verdana"/>
      <family val="2"/>
    </font>
    <font>
      <b/>
      <sz val="12"/>
      <name val="Verdana"/>
      <family val="2"/>
    </font>
    <font>
      <b/>
      <sz val="14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7"/>
      <color rgb="FF000099"/>
      <name val="Verdana"/>
      <family val="2"/>
    </font>
    <font>
      <sz val="7"/>
      <color rgb="FF0000FF"/>
      <name val="Verdana"/>
      <family val="2"/>
    </font>
    <font>
      <sz val="10"/>
      <color theme="4" tint="-0.249977111117893"/>
      <name val="Verdana"/>
      <family val="2"/>
    </font>
    <font>
      <sz val="7"/>
      <name val="Verdana"/>
      <family val="2"/>
    </font>
    <font>
      <sz val="7"/>
      <color theme="1" tint="0.499984740745262"/>
      <name val="Verdana"/>
      <family val="2"/>
    </font>
    <font>
      <u/>
      <sz val="9"/>
      <color indexed="12"/>
      <name val="Arial"/>
      <family val="2"/>
    </font>
    <font>
      <sz val="9"/>
      <color rgb="FF0000CC"/>
      <name val="Verdana"/>
      <family val="2"/>
    </font>
    <font>
      <b/>
      <sz val="9"/>
      <color rgb="FF0000CC"/>
      <name val="Verdana"/>
      <family val="2"/>
    </font>
    <font>
      <sz val="8"/>
      <color rgb="FF0000CC"/>
      <name val="Verdana"/>
      <family val="2"/>
    </font>
    <font>
      <sz val="8"/>
      <color theme="4" tint="-0.249977111117893"/>
      <name val="Verdana"/>
      <family val="2"/>
    </font>
    <font>
      <b/>
      <sz val="8"/>
      <color theme="4" tint="-0.249977111117893"/>
      <name val="Verdana"/>
      <family val="2"/>
    </font>
    <font>
      <u/>
      <sz val="8"/>
      <name val="Verdana"/>
      <family val="2"/>
    </font>
    <font>
      <u/>
      <sz val="10"/>
      <name val="Verdana"/>
      <family val="2"/>
    </font>
    <font>
      <sz val="7"/>
      <color rgb="FF002060"/>
      <name val="Verdana"/>
      <family val="2"/>
    </font>
    <font>
      <sz val="10"/>
      <color theme="2" tint="-0.499984740745262"/>
      <name val="Verdana"/>
      <family val="2"/>
    </font>
    <font>
      <sz val="9"/>
      <color theme="3" tint="0.39997558519241921"/>
      <name val="Verdana"/>
      <family val="2"/>
    </font>
    <font>
      <sz val="11"/>
      <color theme="3" tint="0.39997558519241921"/>
      <name val="Calibri"/>
      <family val="2"/>
      <scheme val="minor"/>
    </font>
    <font>
      <sz val="8"/>
      <color theme="8" tint="-0.249977111117893"/>
      <name val="Verdana"/>
      <family val="2"/>
    </font>
    <font>
      <i/>
      <sz val="8"/>
      <name val="Verdana"/>
      <family val="2"/>
    </font>
    <font>
      <b/>
      <sz val="8"/>
      <color indexed="12"/>
      <name val="Arial"/>
      <family val="2"/>
    </font>
    <font>
      <b/>
      <sz val="8"/>
      <color rgb="FF000099"/>
      <name val="Arial"/>
      <family val="2"/>
    </font>
    <font>
      <b/>
      <sz val="9"/>
      <color rgb="FF000099"/>
      <name val="Verdana"/>
      <family val="2"/>
    </font>
    <font>
      <sz val="7"/>
      <color theme="2" tint="-0.749992370372631"/>
      <name val="Verdana"/>
      <family val="2"/>
    </font>
    <font>
      <sz val="10"/>
      <color theme="2" tint="-0.749992370372631"/>
      <name val="Verdana"/>
      <family val="2"/>
    </font>
    <font>
      <sz val="7"/>
      <color rgb="FF0070C0"/>
      <name val="Verdana"/>
      <family val="2"/>
    </font>
    <font>
      <sz val="11"/>
      <color rgb="FF0070C0"/>
      <name val="Calibri"/>
      <family val="2"/>
      <scheme val="minor"/>
    </font>
    <font>
      <i/>
      <sz val="7"/>
      <name val="Verdana"/>
      <family val="2"/>
    </font>
    <font>
      <b/>
      <sz val="7"/>
      <name val="Verdana"/>
      <family val="2"/>
    </font>
    <font>
      <sz val="7"/>
      <color rgb="FF0000CC"/>
      <name val="Verdana"/>
      <family val="2"/>
    </font>
    <font>
      <b/>
      <i/>
      <sz val="8"/>
      <color theme="0"/>
      <name val="Verdana"/>
      <family val="2"/>
    </font>
    <font>
      <sz val="6"/>
      <color theme="0"/>
      <name val="Verdana"/>
      <family val="2"/>
    </font>
    <font>
      <b/>
      <sz val="6"/>
      <color rgb="FF0000CC"/>
      <name val="Verdana"/>
      <family val="2"/>
    </font>
    <font>
      <b/>
      <sz val="8"/>
      <color indexed="81"/>
      <name val="Calibri"/>
      <family val="2"/>
      <scheme val="minor"/>
    </font>
    <font>
      <sz val="8"/>
      <name val="Calibri"/>
      <family val="2"/>
      <scheme val="minor"/>
    </font>
    <font>
      <sz val="6"/>
      <name val="Calibri"/>
      <family val="2"/>
      <scheme val="minor"/>
    </font>
    <font>
      <sz val="7"/>
      <color rgb="FFFF0000"/>
      <name val="Verdana"/>
      <family val="2"/>
    </font>
    <font>
      <sz val="7"/>
      <color rgb="FF0066CC"/>
      <name val="Calibri"/>
      <family val="2"/>
      <scheme val="minor"/>
    </font>
    <font>
      <sz val="7"/>
      <color theme="0"/>
      <name val="Calibri"/>
      <family val="2"/>
      <scheme val="minor"/>
    </font>
    <font>
      <b/>
      <i/>
      <sz val="9"/>
      <color theme="0"/>
      <name val="Verdana"/>
      <family val="2"/>
    </font>
    <font>
      <b/>
      <sz val="8"/>
      <color theme="0"/>
      <name val="Calibri"/>
      <family val="2"/>
      <scheme val="minor"/>
    </font>
    <font>
      <b/>
      <sz val="6"/>
      <color theme="0"/>
      <name val="Verdana"/>
      <family val="2"/>
    </font>
    <font>
      <b/>
      <sz val="10"/>
      <color theme="0"/>
      <name val="Calibri"/>
      <family val="2"/>
      <scheme val="minor"/>
    </font>
    <font>
      <b/>
      <sz val="6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5"/>
      <color theme="0"/>
      <name val="Calibri"/>
      <family val="2"/>
      <scheme val="minor"/>
    </font>
    <font>
      <b/>
      <i/>
      <sz val="5"/>
      <color theme="0"/>
      <name val="Calibri"/>
      <family val="2"/>
      <scheme val="minor"/>
    </font>
    <font>
      <sz val="5"/>
      <color theme="0"/>
      <name val="Verdana"/>
      <family val="2"/>
    </font>
    <font>
      <sz val="6"/>
      <name val="Verdana"/>
      <family val="2"/>
    </font>
    <font>
      <b/>
      <sz val="5"/>
      <color theme="1" tint="0.34998626667073579"/>
      <name val="Verdan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gradientFill degree="45">
        <stop position="0">
          <color theme="0"/>
        </stop>
        <stop position="1">
          <color theme="3" tint="0.80001220740379042"/>
        </stop>
      </gradientFill>
    </fill>
    <fill>
      <gradientFill degree="45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theme="4" tint="0.80001220740379042"/>
        </stop>
      </gradientFill>
    </fill>
    <fill>
      <patternFill patternType="solid">
        <fgColor rgb="FFFFFFFF"/>
        <bgColor indexed="64"/>
      </patternFill>
    </fill>
    <fill>
      <patternFill patternType="solid">
        <fgColor theme="0"/>
        <bgColor auto="1"/>
      </patternFill>
    </fill>
    <fill>
      <gradientFill degree="90">
        <stop position="0">
          <color theme="0"/>
        </stop>
        <stop position="1">
          <color theme="6" tint="0.59999389629810485"/>
        </stop>
      </gradientFill>
    </fill>
    <fill>
      <gradientFill degree="90">
        <stop position="0">
          <color theme="0"/>
        </stop>
        <stop position="1">
          <color theme="3" tint="0.80001220740379042"/>
        </stop>
      </gradientFill>
    </fill>
    <fill>
      <gradientFill degree="90">
        <stop position="0">
          <color theme="0"/>
        </stop>
        <stop position="1">
          <color theme="6" tint="0.80001220740379042"/>
        </stop>
      </gradientFill>
    </fill>
    <fill>
      <gradientFill type="path" top="1" bottom="1">
        <stop position="0">
          <color theme="6" tint="0.80001220740379042"/>
        </stop>
        <stop position="1">
          <color theme="0"/>
        </stop>
      </gradient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0.5">
          <color theme="3" tint="-0.25098422193060094"/>
        </stop>
        <stop position="1">
          <color theme="0"/>
        </stop>
      </gradient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gradientFill type="path" left="0.5" right="0.5" top="0.5" bottom="0.5">
        <stop position="0">
          <color theme="3" tint="0.40000610370189521"/>
        </stop>
        <stop position="1">
          <color theme="0"/>
        </stop>
      </gradientFill>
    </fill>
    <fill>
      <gradientFill type="path" left="0.5" right="0.5" top="0.5" bottom="0.5">
        <stop position="0">
          <color theme="3" tint="0.59999389629810485"/>
        </stop>
        <stop position="1">
          <color theme="0"/>
        </stop>
      </gradientFill>
    </fill>
    <fill>
      <gradientFill type="path" left="0.5" right="0.5" top="0.5" bottom="0.5">
        <stop position="0">
          <color theme="3" tint="-0.25098422193060094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0" tint="-0.34998626667073579"/>
      </bottom>
      <diagonal/>
    </border>
    <border>
      <left/>
      <right/>
      <top style="thin">
        <color theme="1" tint="0.34998626667073579"/>
      </top>
      <bottom style="thin">
        <color theme="0" tint="-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0" tint="-0.34998626667073579"/>
      </bottom>
      <diagonal/>
    </border>
    <border>
      <left style="double">
        <color theme="6" tint="0.59996337778862885"/>
      </left>
      <right/>
      <top/>
      <bottom/>
      <diagonal/>
    </border>
    <border>
      <left/>
      <right style="double">
        <color theme="6" tint="0.59996337778862885"/>
      </right>
      <top/>
      <bottom/>
      <diagonal/>
    </border>
    <border>
      <left style="double">
        <color theme="6" tint="0.59996337778862885"/>
      </left>
      <right/>
      <top/>
      <bottom style="double">
        <color theme="6" tint="0.59996337778862885"/>
      </bottom>
      <diagonal/>
    </border>
    <border>
      <left/>
      <right style="double">
        <color theme="6" tint="0.59996337778862885"/>
      </right>
      <top/>
      <bottom style="double">
        <color theme="6" tint="0.59996337778862885"/>
      </bottom>
      <diagonal/>
    </border>
    <border>
      <left/>
      <right/>
      <top/>
      <bottom style="double">
        <color theme="6" tint="0.59996337778862885"/>
      </bottom>
      <diagonal/>
    </border>
    <border>
      <left style="double">
        <color theme="3" tint="0.59996337778862885"/>
      </left>
      <right style="double">
        <color theme="3" tint="0.59996337778862885"/>
      </right>
      <top style="double">
        <color theme="3" tint="0.59996337778862885"/>
      </top>
      <bottom/>
      <diagonal/>
    </border>
    <border>
      <left style="double">
        <color theme="3" tint="0.59996337778862885"/>
      </left>
      <right style="double">
        <color theme="3" tint="0.59996337778862885"/>
      </right>
      <top/>
      <bottom style="thin">
        <color theme="0"/>
      </bottom>
      <diagonal/>
    </border>
    <border>
      <left style="double">
        <color theme="3" tint="0.59996337778862885"/>
      </left>
      <right style="double">
        <color theme="3" tint="0.59996337778862885"/>
      </right>
      <top style="thin">
        <color theme="0"/>
      </top>
      <bottom/>
      <diagonal/>
    </border>
    <border>
      <left style="double">
        <color theme="3" tint="0.59996337778862885"/>
      </left>
      <right style="double">
        <color theme="3" tint="0.59996337778862885"/>
      </right>
      <top/>
      <bottom/>
      <diagonal/>
    </border>
    <border>
      <left style="double">
        <color theme="3" tint="0.59996337778862885"/>
      </left>
      <right style="double">
        <color theme="3" tint="0.59996337778862885"/>
      </right>
      <top/>
      <bottom style="double">
        <color theme="3" tint="0.59996337778862885"/>
      </bottom>
      <diagonal/>
    </border>
    <border>
      <left style="double">
        <color theme="3" tint="0.59996337778862885"/>
      </left>
      <right/>
      <top style="double">
        <color theme="3" tint="0.59996337778862885"/>
      </top>
      <bottom/>
      <diagonal/>
    </border>
    <border>
      <left/>
      <right style="double">
        <color theme="3" tint="0.59996337778862885"/>
      </right>
      <top style="double">
        <color theme="3" tint="0.59996337778862885"/>
      </top>
      <bottom/>
      <diagonal/>
    </border>
    <border>
      <left style="double">
        <color theme="3" tint="0.59996337778862885"/>
      </left>
      <right/>
      <top style="thin">
        <color theme="0"/>
      </top>
      <bottom/>
      <diagonal/>
    </border>
    <border>
      <left/>
      <right style="double">
        <color theme="3" tint="0.59996337778862885"/>
      </right>
      <top style="thin">
        <color theme="0"/>
      </top>
      <bottom/>
      <diagonal/>
    </border>
    <border>
      <left style="double">
        <color theme="3" tint="0.59996337778862885"/>
      </left>
      <right/>
      <top/>
      <bottom/>
      <diagonal/>
    </border>
    <border>
      <left/>
      <right style="double">
        <color theme="3" tint="0.59996337778862885"/>
      </right>
      <top/>
      <bottom/>
      <diagonal/>
    </border>
    <border>
      <left style="double">
        <color theme="3" tint="0.59996337778862885"/>
      </left>
      <right/>
      <top/>
      <bottom style="double">
        <color theme="3" tint="0.59996337778862885"/>
      </bottom>
      <diagonal/>
    </border>
    <border>
      <left/>
      <right style="double">
        <color theme="3" tint="0.59996337778862885"/>
      </right>
      <top/>
      <bottom style="double">
        <color theme="3" tint="0.59996337778862885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34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0" borderId="0" xfId="0" applyFont="1"/>
    <xf numFmtId="0" fontId="9" fillId="0" borderId="5" xfId="0" applyFont="1" applyBorder="1"/>
    <xf numFmtId="0" fontId="5" fillId="7" borderId="0" xfId="0" applyFont="1" applyFill="1"/>
    <xf numFmtId="0" fontId="9" fillId="7" borderId="0" xfId="0" applyFont="1" applyFill="1"/>
    <xf numFmtId="0" fontId="3" fillId="0" borderId="0" xfId="0" applyFont="1"/>
    <xf numFmtId="0" fontId="5" fillId="2" borderId="0" xfId="0" applyFont="1" applyFill="1"/>
    <xf numFmtId="0" fontId="9" fillId="2" borderId="4" xfId="0" applyFont="1" applyFill="1" applyBorder="1"/>
    <xf numFmtId="0" fontId="9" fillId="2" borderId="0" xfId="0" applyFont="1" applyFill="1"/>
    <xf numFmtId="0" fontId="9" fillId="2" borderId="5" xfId="0" applyFont="1" applyFill="1" applyBorder="1"/>
    <xf numFmtId="0" fontId="10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9" fillId="2" borderId="8" xfId="0" applyFont="1" applyFill="1" applyBorder="1"/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/>
    <xf numFmtId="0" fontId="9" fillId="2" borderId="13" xfId="0" applyFont="1" applyFill="1" applyBorder="1"/>
    <xf numFmtId="0" fontId="10" fillId="2" borderId="4" xfId="0" applyFont="1" applyFill="1" applyBorder="1"/>
    <xf numFmtId="0" fontId="10" fillId="2" borderId="0" xfId="0" applyFont="1" applyFill="1" applyAlignment="1">
      <alignment horizontal="left"/>
    </xf>
    <xf numFmtId="0" fontId="10" fillId="2" borderId="5" xfId="0" applyFont="1" applyFill="1" applyBorder="1"/>
    <xf numFmtId="0" fontId="10" fillId="2" borderId="4" xfId="0" applyFont="1" applyFill="1" applyBorder="1" applyAlignment="1">
      <alignment horizontal="justify"/>
    </xf>
    <xf numFmtId="0" fontId="10" fillId="2" borderId="5" xfId="0" applyFont="1" applyFill="1" applyBorder="1" applyAlignment="1">
      <alignment horizontal="justify"/>
    </xf>
    <xf numFmtId="14" fontId="9" fillId="2" borderId="0" xfId="0" applyNumberFormat="1" applyFont="1" applyFill="1"/>
    <xf numFmtId="0" fontId="10" fillId="2" borderId="8" xfId="0" applyFont="1" applyFill="1" applyBorder="1"/>
    <xf numFmtId="0" fontId="10" fillId="2" borderId="9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0" xfId="0" applyFont="1" applyFill="1" applyAlignment="1">
      <alignment horizontal="left" indent="4"/>
    </xf>
    <xf numFmtId="0" fontId="11" fillId="2" borderId="0" xfId="0" applyFont="1" applyFill="1" applyAlignment="1">
      <alignment horizontal="left" indent="2"/>
    </xf>
    <xf numFmtId="0" fontId="14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0" borderId="0" xfId="0" applyFont="1"/>
    <xf numFmtId="0" fontId="14" fillId="0" borderId="0" xfId="0" applyFont="1"/>
    <xf numFmtId="0" fontId="15" fillId="2" borderId="0" xfId="0" applyFont="1" applyFill="1" applyAlignment="1">
      <alignment horizontal="left" vertical="center" wrapText="1" indent="4"/>
    </xf>
    <xf numFmtId="0" fontId="9" fillId="2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164" fontId="9" fillId="2" borderId="0" xfId="2" applyFont="1" applyFill="1" applyBorder="1" applyAlignment="1" applyProtection="1">
      <alignment horizontal="center"/>
      <protection locked="0"/>
    </xf>
    <xf numFmtId="15" fontId="17" fillId="2" borderId="0" xfId="0" applyNumberFormat="1" applyFont="1" applyFill="1" applyAlignment="1" applyProtection="1">
      <alignment horizontal="center"/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10" fillId="9" borderId="0" xfId="0" applyFont="1" applyFill="1" applyAlignment="1">
      <alignment horizontal="center"/>
    </xf>
    <xf numFmtId="0" fontId="9" fillId="9" borderId="0" xfId="0" applyFont="1" applyFill="1"/>
    <xf numFmtId="0" fontId="12" fillId="9" borderId="16" xfId="0" quotePrefix="1" applyFont="1" applyFill="1" applyBorder="1" applyAlignment="1" applyProtection="1">
      <alignment horizontal="center" wrapText="1"/>
      <protection locked="0"/>
    </xf>
    <xf numFmtId="0" fontId="3" fillId="9" borderId="0" xfId="0" applyFont="1" applyFill="1"/>
    <xf numFmtId="0" fontId="5" fillId="9" borderId="0" xfId="0" applyFont="1" applyFill="1"/>
    <xf numFmtId="0" fontId="18" fillId="2" borderId="0" xfId="0" applyFont="1" applyFill="1" applyProtection="1">
      <protection locked="0"/>
    </xf>
    <xf numFmtId="0" fontId="18" fillId="2" borderId="0" xfId="0" applyFont="1" applyFill="1" applyAlignment="1">
      <alignment horizontal="left"/>
    </xf>
    <xf numFmtId="0" fontId="12" fillId="2" borderId="16" xfId="0" quotePrefix="1" applyFont="1" applyFill="1" applyBorder="1" applyAlignment="1">
      <alignment horizontal="center" wrapText="1"/>
    </xf>
    <xf numFmtId="0" fontId="12" fillId="2" borderId="0" xfId="0" quotePrefix="1" applyFont="1" applyFill="1" applyAlignment="1">
      <alignment horizontal="center" wrapText="1"/>
    </xf>
    <xf numFmtId="0" fontId="12" fillId="2" borderId="0" xfId="0" applyFont="1" applyFill="1"/>
    <xf numFmtId="0" fontId="20" fillId="2" borderId="0" xfId="0" applyFont="1" applyFill="1"/>
    <xf numFmtId="0" fontId="13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vertical="center"/>
    </xf>
    <xf numFmtId="0" fontId="17" fillId="2" borderId="15" xfId="0" applyFont="1" applyFill="1" applyBorder="1" applyAlignment="1" applyProtection="1">
      <alignment horizontal="center" vertical="center"/>
      <protection locked="0"/>
    </xf>
    <xf numFmtId="0" fontId="25" fillId="2" borderId="0" xfId="0" applyFont="1" applyFill="1" applyAlignment="1">
      <alignment horizontal="left" indent="1"/>
    </xf>
    <xf numFmtId="0" fontId="12" fillId="8" borderId="17" xfId="0" quotePrefix="1" applyFont="1" applyFill="1" applyBorder="1" applyAlignment="1">
      <alignment horizontal="center" wrapText="1"/>
    </xf>
    <xf numFmtId="0" fontId="10" fillId="2" borderId="9" xfId="0" applyFont="1" applyFill="1" applyBorder="1" applyProtection="1">
      <protection locked="0"/>
    </xf>
    <xf numFmtId="0" fontId="10" fillId="2" borderId="0" xfId="0" applyFont="1" applyFill="1" applyAlignment="1" applyProtection="1">
      <alignment horizontal="left" indent="1"/>
      <protection locked="0"/>
    </xf>
    <xf numFmtId="0" fontId="9" fillId="2" borderId="0" xfId="0" applyFont="1" applyFill="1" applyAlignment="1" applyProtection="1">
      <alignment horizontal="left" indent="1"/>
      <protection locked="0"/>
    </xf>
    <xf numFmtId="0" fontId="3" fillId="11" borderId="0" xfId="0" applyFont="1" applyFill="1" applyAlignment="1" applyProtection="1">
      <alignment horizontal="left" indent="1"/>
      <protection locked="0"/>
    </xf>
    <xf numFmtId="0" fontId="24" fillId="7" borderId="0" xfId="0" applyFont="1" applyFill="1" applyAlignment="1">
      <alignment horizontal="left" indent="1"/>
    </xf>
    <xf numFmtId="0" fontId="24" fillId="0" borderId="0" xfId="0" applyFont="1" applyAlignment="1">
      <alignment horizontal="left" indent="1"/>
    </xf>
    <xf numFmtId="0" fontId="9" fillId="3" borderId="11" xfId="0" applyFont="1" applyFill="1" applyBorder="1"/>
    <xf numFmtId="0" fontId="9" fillId="3" borderId="12" xfId="0" applyFont="1" applyFill="1" applyBorder="1"/>
    <xf numFmtId="0" fontId="10" fillId="3" borderId="4" xfId="0" applyFont="1" applyFill="1" applyBorder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9" fillId="3" borderId="13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9" fillId="3" borderId="10" xfId="0" applyFont="1" applyFill="1" applyBorder="1"/>
    <xf numFmtId="0" fontId="9" fillId="3" borderId="5" xfId="0" applyFont="1" applyFill="1" applyBorder="1"/>
    <xf numFmtId="0" fontId="12" fillId="8" borderId="17" xfId="0" quotePrefix="1" applyFont="1" applyFill="1" applyBorder="1" applyAlignment="1" applyProtection="1">
      <alignment horizontal="center" wrapText="1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9" fillId="3" borderId="4" xfId="0" applyFont="1" applyFill="1" applyBorder="1"/>
    <xf numFmtId="0" fontId="9" fillId="3" borderId="0" xfId="0" applyFont="1" applyFill="1"/>
    <xf numFmtId="0" fontId="10" fillId="3" borderId="0" xfId="0" applyFont="1" applyFill="1"/>
    <xf numFmtId="0" fontId="17" fillId="2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 indent="2"/>
      <protection locked="0"/>
    </xf>
    <xf numFmtId="0" fontId="10" fillId="2" borderId="0" xfId="0" applyFont="1" applyFill="1" applyAlignment="1" applyProtection="1">
      <alignment horizontal="left" indent="2"/>
      <protection locked="0"/>
    </xf>
    <xf numFmtId="0" fontId="9" fillId="2" borderId="0" xfId="0" applyFont="1" applyFill="1" applyAlignment="1" applyProtection="1">
      <alignment horizontal="left" indent="2"/>
      <protection locked="0"/>
    </xf>
    <xf numFmtId="0" fontId="4" fillId="14" borderId="0" xfId="0" applyFont="1" applyFill="1" applyAlignment="1">
      <alignment horizontal="center"/>
    </xf>
    <xf numFmtId="0" fontId="3" fillId="14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8" fillId="4" borderId="0" xfId="0" applyFont="1" applyFill="1"/>
    <xf numFmtId="0" fontId="7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29" fillId="2" borderId="0" xfId="0" applyFont="1" applyFill="1"/>
    <xf numFmtId="0" fontId="9" fillId="2" borderId="6" xfId="0" applyFont="1" applyFill="1" applyBorder="1" applyProtection="1">
      <protection locked="0"/>
    </xf>
    <xf numFmtId="0" fontId="9" fillId="2" borderId="14" xfId="0" applyFont="1" applyFill="1" applyBorder="1" applyProtection="1">
      <protection locked="0"/>
    </xf>
    <xf numFmtId="0" fontId="9" fillId="2" borderId="7" xfId="0" applyFont="1" applyFill="1" applyBorder="1" applyProtection="1">
      <protection locked="0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/>
    </xf>
    <xf numFmtId="0" fontId="34" fillId="2" borderId="0" xfId="0" applyFont="1" applyFill="1" applyAlignment="1">
      <alignment horizontal="left" indent="1"/>
    </xf>
    <xf numFmtId="0" fontId="17" fillId="2" borderId="0" xfId="0" applyFont="1" applyFill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18" fillId="3" borderId="15" xfId="0" applyFont="1" applyFill="1" applyBorder="1" applyAlignment="1" applyProtection="1">
      <alignment horizontal="center" vertical="center"/>
      <protection locked="0"/>
    </xf>
    <xf numFmtId="0" fontId="40" fillId="16" borderId="0" xfId="0" applyFont="1" applyFill="1" applyAlignment="1">
      <alignment horizontal="left" vertical="center" indent="6"/>
    </xf>
    <xf numFmtId="0" fontId="5" fillId="16" borderId="0" xfId="0" applyFont="1" applyFill="1"/>
    <xf numFmtId="0" fontId="4" fillId="14" borderId="0" xfId="0" applyFont="1" applyFill="1"/>
    <xf numFmtId="0" fontId="4" fillId="18" borderId="0" xfId="0" applyFont="1" applyFill="1" applyAlignment="1">
      <alignment horizontal="left"/>
    </xf>
    <xf numFmtId="0" fontId="4" fillId="18" borderId="0" xfId="0" applyFont="1" applyFill="1"/>
    <xf numFmtId="3" fontId="3" fillId="4" borderId="0" xfId="0" applyNumberFormat="1" applyFont="1" applyFill="1"/>
    <xf numFmtId="0" fontId="5" fillId="2" borderId="24" xfId="0" applyFont="1" applyFill="1" applyBorder="1"/>
    <xf numFmtId="0" fontId="5" fillId="2" borderId="25" xfId="0" applyFont="1" applyFill="1" applyBorder="1"/>
    <xf numFmtId="4" fontId="41" fillId="19" borderId="25" xfId="0" applyNumberFormat="1" applyFont="1" applyFill="1" applyBorder="1" applyAlignment="1">
      <alignment vertical="center"/>
    </xf>
    <xf numFmtId="4" fontId="41" fillId="2" borderId="25" xfId="0" applyNumberFormat="1" applyFont="1" applyFill="1" applyBorder="1" applyAlignment="1">
      <alignment vertical="center"/>
    </xf>
    <xf numFmtId="164" fontId="42" fillId="17" borderId="25" xfId="2" applyFont="1" applyFill="1" applyBorder="1" applyAlignment="1" applyProtection="1">
      <alignment horizontal="center" vertical="center"/>
      <protection locked="0"/>
    </xf>
    <xf numFmtId="0" fontId="45" fillId="2" borderId="0" xfId="0" applyFont="1" applyFill="1"/>
    <xf numFmtId="0" fontId="46" fillId="4" borderId="0" xfId="0" applyFont="1" applyFill="1"/>
    <xf numFmtId="0" fontId="47" fillId="2" borderId="0" xfId="0" applyFont="1" applyFill="1" applyAlignment="1">
      <alignment horizontal="center" vertical="center"/>
    </xf>
    <xf numFmtId="0" fontId="48" fillId="20" borderId="0" xfId="0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48" fillId="22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50" fillId="23" borderId="0" xfId="0" applyFont="1" applyFill="1" applyAlignment="1">
      <alignment horizontal="center" vertical="center"/>
    </xf>
    <xf numFmtId="0" fontId="41" fillId="2" borderId="24" xfId="0" applyFont="1" applyFill="1" applyBorder="1" applyAlignment="1">
      <alignment horizontal="left" vertical="center"/>
    </xf>
    <xf numFmtId="0" fontId="42" fillId="17" borderId="24" xfId="0" applyFont="1" applyFill="1" applyBorder="1" applyAlignment="1">
      <alignment horizontal="left" vertical="center"/>
    </xf>
    <xf numFmtId="0" fontId="51" fillId="19" borderId="24" xfId="0" applyFont="1" applyFill="1" applyBorder="1" applyAlignment="1">
      <alignment horizontal="left" vertical="center"/>
    </xf>
    <xf numFmtId="0" fontId="51" fillId="19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42" fillId="17" borderId="0" xfId="0" applyFont="1" applyFill="1" applyAlignment="1">
      <alignment horizontal="left" vertical="center"/>
    </xf>
    <xf numFmtId="0" fontId="51" fillId="19" borderId="28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52" fillId="24" borderId="31" xfId="0" applyFont="1" applyFill="1" applyBorder="1" applyAlignment="1">
      <alignment horizontal="center" vertical="center"/>
    </xf>
    <xf numFmtId="0" fontId="51" fillId="26" borderId="31" xfId="0" applyFont="1" applyFill="1" applyBorder="1" applyAlignment="1">
      <alignment horizontal="left" vertical="top" wrapText="1"/>
    </xf>
    <xf numFmtId="0" fontId="51" fillId="19" borderId="26" xfId="0" applyFont="1" applyFill="1" applyBorder="1" applyAlignment="1">
      <alignment horizontal="left" vertical="center"/>
    </xf>
    <xf numFmtId="4" fontId="41" fillId="19" borderId="25" xfId="0" applyNumberFormat="1" applyFont="1" applyFill="1" applyBorder="1" applyAlignment="1">
      <alignment horizontal="right" vertical="center"/>
    </xf>
    <xf numFmtId="4" fontId="41" fillId="19" borderId="27" xfId="0" applyNumberFormat="1" applyFont="1" applyFill="1" applyBorder="1" applyAlignment="1">
      <alignment horizontal="right" vertical="center"/>
    </xf>
    <xf numFmtId="0" fontId="51" fillId="26" borderId="33" xfId="0" applyFont="1" applyFill="1" applyBorder="1" applyAlignment="1">
      <alignment vertical="top" wrapText="1"/>
    </xf>
    <xf numFmtId="0" fontId="5" fillId="2" borderId="0" xfId="0" quotePrefix="1" applyFont="1" applyFill="1"/>
    <xf numFmtId="0" fontId="41" fillId="26" borderId="36" xfId="0" applyFont="1" applyFill="1" applyBorder="1" applyAlignment="1">
      <alignment horizontal="left"/>
    </xf>
    <xf numFmtId="0" fontId="41" fillId="26" borderId="37" xfId="0" applyFont="1" applyFill="1" applyBorder="1" applyAlignment="1">
      <alignment horizontal="left"/>
    </xf>
    <xf numFmtId="0" fontId="54" fillId="26" borderId="38" xfId="0" applyFont="1" applyFill="1" applyBorder="1" applyAlignment="1">
      <alignment horizontal="left" vertical="center"/>
    </xf>
    <xf numFmtId="0" fontId="55" fillId="26" borderId="39" xfId="0" applyFont="1" applyFill="1" applyBorder="1" applyAlignment="1">
      <alignment horizontal="left" vertical="center"/>
    </xf>
    <xf numFmtId="0" fontId="41" fillId="26" borderId="38" xfId="0" applyFont="1" applyFill="1" applyBorder="1" applyAlignment="1">
      <alignment horizontal="left"/>
    </xf>
    <xf numFmtId="0" fontId="57" fillId="26" borderId="39" xfId="0" applyFont="1" applyFill="1" applyBorder="1"/>
    <xf numFmtId="0" fontId="54" fillId="26" borderId="40" xfId="0" applyFont="1" applyFill="1" applyBorder="1" applyAlignment="1">
      <alignment horizontal="left" vertical="center"/>
    </xf>
    <xf numFmtId="0" fontId="55" fillId="26" borderId="41" xfId="0" applyFont="1" applyFill="1" applyBorder="1" applyAlignment="1">
      <alignment horizontal="left" vertical="center"/>
    </xf>
    <xf numFmtId="0" fontId="55" fillId="26" borderId="39" xfId="0" applyFont="1" applyFill="1" applyBorder="1" applyAlignment="1">
      <alignment horizontal="left" vertical="center" wrapText="1"/>
    </xf>
    <xf numFmtId="0" fontId="59" fillId="4" borderId="2" xfId="0" applyFont="1" applyFill="1" applyBorder="1" applyAlignment="1">
      <alignment horizontal="center"/>
    </xf>
    <xf numFmtId="0" fontId="9" fillId="2" borderId="15" xfId="0" applyFont="1" applyFill="1" applyBorder="1" applyAlignment="1" applyProtection="1">
      <alignment horizontal="center" vertical="center"/>
      <protection locked="0"/>
    </xf>
    <xf numFmtId="0" fontId="32" fillId="2" borderId="0" xfId="0" applyFont="1" applyFill="1"/>
    <xf numFmtId="164" fontId="9" fillId="2" borderId="0" xfId="2" applyFont="1" applyFill="1" applyBorder="1" applyAlignment="1" applyProtection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indent="2"/>
    </xf>
    <xf numFmtId="0" fontId="3" fillId="11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2"/>
    </xf>
    <xf numFmtId="0" fontId="9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1"/>
    </xf>
    <xf numFmtId="0" fontId="10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0" fontId="17" fillId="2" borderId="0" xfId="0" applyFont="1" applyFill="1" applyAlignment="1">
      <alignment horizontal="center"/>
    </xf>
    <xf numFmtId="164" fontId="17" fillId="2" borderId="0" xfId="2" applyFont="1" applyFill="1" applyBorder="1" applyAlignment="1" applyProtection="1">
      <alignment horizontal="center"/>
    </xf>
    <xf numFmtId="0" fontId="3" fillId="11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53" fillId="24" borderId="34" xfId="0" applyFont="1" applyFill="1" applyBorder="1" applyAlignment="1">
      <alignment horizontal="center" vertical="center"/>
    </xf>
    <xf numFmtId="0" fontId="53" fillId="24" borderId="35" xfId="0" applyFont="1" applyFill="1" applyBorder="1" applyAlignment="1">
      <alignment horizontal="center" vertical="center"/>
    </xf>
    <xf numFmtId="0" fontId="52" fillId="25" borderId="29" xfId="0" applyFont="1" applyFill="1" applyBorder="1" applyAlignment="1">
      <alignment horizontal="center" vertical="center"/>
    </xf>
    <xf numFmtId="0" fontId="52" fillId="25" borderId="30" xfId="0" applyFont="1" applyFill="1" applyBorder="1" applyAlignment="1">
      <alignment horizontal="center" vertical="center"/>
    </xf>
    <xf numFmtId="0" fontId="33" fillId="10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9" fillId="2" borderId="6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166" fontId="17" fillId="2" borderId="6" xfId="3" applyNumberFormat="1" applyFont="1" applyFill="1" applyBorder="1" applyAlignment="1" applyProtection="1">
      <alignment horizontal="center"/>
      <protection locked="0"/>
    </xf>
    <xf numFmtId="166" fontId="17" fillId="2" borderId="7" xfId="3" applyNumberFormat="1" applyFont="1" applyFill="1" applyBorder="1" applyAlignment="1" applyProtection="1">
      <alignment horizontal="center"/>
      <protection locked="0"/>
    </xf>
    <xf numFmtId="0" fontId="18" fillId="2" borderId="6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 applyProtection="1">
      <alignment horizontal="center"/>
      <protection locked="0"/>
    </xf>
    <xf numFmtId="0" fontId="9" fillId="2" borderId="14" xfId="0" applyFont="1" applyFill="1" applyBorder="1" applyAlignment="1" applyProtection="1">
      <alignment horizontal="center"/>
      <protection locked="0"/>
    </xf>
    <xf numFmtId="0" fontId="9" fillId="2" borderId="7" xfId="0" applyFont="1" applyFill="1" applyBorder="1" applyAlignment="1" applyProtection="1">
      <alignment horizontal="center"/>
      <protection locked="0"/>
    </xf>
    <xf numFmtId="0" fontId="58" fillId="12" borderId="0" xfId="0" applyFont="1" applyFill="1" applyAlignment="1">
      <alignment horizontal="left" vertical="center" wrapText="1"/>
    </xf>
    <xf numFmtId="15" fontId="17" fillId="2" borderId="6" xfId="0" applyNumberFormat="1" applyFont="1" applyFill="1" applyBorder="1" applyAlignment="1" applyProtection="1">
      <alignment horizontal="center"/>
      <protection locked="0"/>
    </xf>
    <xf numFmtId="15" fontId="17" fillId="2" borderId="14" xfId="0" applyNumberFormat="1" applyFont="1" applyFill="1" applyBorder="1" applyAlignment="1" applyProtection="1">
      <alignment horizontal="center"/>
      <protection locked="0"/>
    </xf>
    <xf numFmtId="15" fontId="17" fillId="2" borderId="7" xfId="0" applyNumberFormat="1" applyFont="1" applyFill="1" applyBorder="1" applyAlignment="1" applyProtection="1">
      <alignment horizontal="center"/>
      <protection locked="0"/>
    </xf>
    <xf numFmtId="0" fontId="1" fillId="2" borderId="6" xfId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 applyProtection="1">
      <alignment horizontal="center" vertical="center"/>
      <protection locked="0"/>
    </xf>
    <xf numFmtId="0" fontId="17" fillId="2" borderId="7" xfId="0" applyFont="1" applyFill="1" applyBorder="1" applyAlignment="1" applyProtection="1">
      <alignment horizontal="center" vertical="center"/>
      <protection locked="0"/>
    </xf>
    <xf numFmtId="0" fontId="17" fillId="2" borderId="6" xfId="0" applyFont="1" applyFill="1" applyBorder="1" applyAlignment="1" applyProtection="1">
      <alignment horizontal="center"/>
      <protection locked="0"/>
    </xf>
    <xf numFmtId="0" fontId="17" fillId="2" borderId="14" xfId="0" applyFont="1" applyFill="1" applyBorder="1" applyAlignment="1" applyProtection="1">
      <alignment horizontal="center"/>
      <protection locked="0"/>
    </xf>
    <xf numFmtId="0" fontId="17" fillId="2" borderId="7" xfId="0" applyFont="1" applyFill="1" applyBorder="1" applyAlignment="1" applyProtection="1">
      <alignment horizontal="center"/>
      <protection locked="0"/>
    </xf>
    <xf numFmtId="0" fontId="26" fillId="2" borderId="6" xfId="0" applyFont="1" applyFill="1" applyBorder="1" applyAlignment="1" applyProtection="1">
      <alignment horizontal="left" vertical="center"/>
      <protection locked="0"/>
    </xf>
    <xf numFmtId="0" fontId="26" fillId="2" borderId="14" xfId="0" applyFont="1" applyFill="1" applyBorder="1" applyAlignment="1" applyProtection="1">
      <alignment horizontal="left" vertical="center"/>
      <protection locked="0"/>
    </xf>
    <xf numFmtId="0" fontId="27" fillId="0" borderId="14" xfId="0" applyFont="1" applyBorder="1" applyAlignment="1" applyProtection="1">
      <alignment horizontal="left" vertical="center"/>
      <protection locked="0"/>
    </xf>
    <xf numFmtId="0" fontId="27" fillId="0" borderId="7" xfId="0" applyFont="1" applyBorder="1" applyAlignment="1" applyProtection="1">
      <alignment horizontal="left" vertical="center"/>
      <protection locked="0"/>
    </xf>
    <xf numFmtId="0" fontId="26" fillId="2" borderId="7" xfId="0" applyFont="1" applyFill="1" applyBorder="1" applyAlignment="1" applyProtection="1">
      <alignment horizontal="left" vertical="center"/>
      <protection locked="0"/>
    </xf>
    <xf numFmtId="0" fontId="35" fillId="15" borderId="0" xfId="0" applyFont="1" applyFill="1" applyAlignment="1">
      <alignment horizontal="center" vertical="center" wrapText="1"/>
    </xf>
    <xf numFmtId="0" fontId="17" fillId="2" borderId="6" xfId="0" applyFont="1" applyFill="1" applyBorder="1" applyAlignment="1" applyProtection="1">
      <alignment horizontal="left" vertical="center"/>
      <protection locked="0"/>
    </xf>
    <xf numFmtId="0" fontId="17" fillId="2" borderId="14" xfId="0" applyFont="1" applyFill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19" fillId="2" borderId="6" xfId="0" applyFont="1" applyFill="1" applyBorder="1" applyAlignment="1" applyProtection="1">
      <alignment horizontal="center" vertical="center"/>
      <protection locked="0"/>
    </xf>
    <xf numFmtId="0" fontId="19" fillId="2" borderId="14" xfId="0" applyFont="1" applyFill="1" applyBorder="1" applyAlignment="1" applyProtection="1">
      <alignment horizontal="center" vertical="center"/>
      <protection locked="0"/>
    </xf>
    <xf numFmtId="0" fontId="19" fillId="2" borderId="7" xfId="0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8" fillId="3" borderId="6" xfId="0" applyFont="1" applyFill="1" applyBorder="1" applyAlignment="1" applyProtection="1">
      <alignment horizontal="center" vertical="center"/>
      <protection locked="0"/>
    </xf>
    <xf numFmtId="0" fontId="18" fillId="3" borderId="14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7" fillId="2" borderId="7" xfId="0" applyFont="1" applyFill="1" applyBorder="1" applyAlignment="1" applyProtection="1">
      <alignment horizontal="left" vertical="center"/>
      <protection locked="0"/>
    </xf>
    <xf numFmtId="0" fontId="1" fillId="2" borderId="6" xfId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51" fillId="26" borderId="32" xfId="0" applyFont="1" applyFill="1" applyBorder="1" applyAlignment="1">
      <alignment horizontal="left" vertical="top" wrapText="1"/>
    </xf>
    <xf numFmtId="0" fontId="35" fillId="13" borderId="0" xfId="0" applyFont="1" applyFill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1" fillId="15" borderId="18" xfId="1" applyFont="1" applyFill="1" applyBorder="1" applyAlignment="1" applyProtection="1">
      <alignment horizontal="center"/>
    </xf>
    <xf numFmtId="0" fontId="30" fillId="15" borderId="19" xfId="1" applyFont="1" applyFill="1" applyBorder="1" applyAlignment="1" applyProtection="1">
      <alignment horizontal="center"/>
    </xf>
    <xf numFmtId="0" fontId="30" fillId="15" borderId="20" xfId="1" applyFont="1" applyFill="1" applyBorder="1" applyAlignment="1" applyProtection="1">
      <alignment horizontal="center"/>
    </xf>
    <xf numFmtId="0" fontId="16" fillId="2" borderId="21" xfId="1" applyFont="1" applyFill="1" applyBorder="1" applyAlignment="1" applyProtection="1">
      <alignment horizontal="center" vertical="top"/>
    </xf>
    <xf numFmtId="0" fontId="16" fillId="2" borderId="22" xfId="1" applyFont="1" applyFill="1" applyBorder="1" applyAlignment="1" applyProtection="1">
      <alignment horizontal="center" vertical="top"/>
    </xf>
    <xf numFmtId="0" fontId="16" fillId="2" borderId="23" xfId="1" applyFont="1" applyFill="1" applyBorder="1" applyAlignment="1" applyProtection="1">
      <alignment horizontal="center" vertical="top"/>
    </xf>
    <xf numFmtId="0" fontId="30" fillId="15" borderId="18" xfId="1" applyFont="1" applyFill="1" applyBorder="1" applyAlignment="1" applyProtection="1">
      <alignment horizontal="center"/>
    </xf>
    <xf numFmtId="0" fontId="20" fillId="2" borderId="0" xfId="0" applyFont="1" applyFill="1" applyAlignment="1">
      <alignment vertical="center" wrapText="1"/>
    </xf>
    <xf numFmtId="0" fontId="17" fillId="2" borderId="15" xfId="0" applyFont="1" applyFill="1" applyBorder="1" applyAlignment="1" applyProtection="1">
      <alignment horizontal="center"/>
      <protection locked="0"/>
    </xf>
  </cellXfs>
  <cellStyles count="4">
    <cellStyle name="Hipervínculo" xfId="1" builtinId="8"/>
    <cellStyle name="Millares" xfId="3" builtinId="3"/>
    <cellStyle name="Moneda" xfId="2" builtinId="4"/>
    <cellStyle name="Normal" xfId="0" builtinId="0"/>
  </cellStyles>
  <dxfs count="16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rgb="FFFF0000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theme="1" tint="0.499984740745262"/>
      </font>
    </dxf>
    <dxf>
      <font>
        <color theme="1" tint="0.499984740745262"/>
      </font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66CC"/>
      <color rgb="FF0000CC"/>
      <color rgb="FF00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82550</xdr:rowOff>
    </xdr:from>
    <xdr:to>
      <xdr:col>4</xdr:col>
      <xdr:colOff>304800</xdr:colOff>
      <xdr:row>2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02" t="22665" b="21333"/>
        <a:stretch>
          <a:fillRect/>
        </a:stretch>
      </xdr:blipFill>
      <xdr:spPr bwMode="auto">
        <a:xfrm>
          <a:off x="292100" y="82550"/>
          <a:ext cx="153035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23</xdr:row>
      <xdr:rowOff>76200</xdr:rowOff>
    </xdr:from>
    <xdr:to>
      <xdr:col>10</xdr:col>
      <xdr:colOff>76028</xdr:colOff>
      <xdr:row>65</xdr:row>
      <xdr:rowOff>107855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997200"/>
          <a:ext cx="5168728" cy="536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ravina@claborem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flores@claborem.com" TargetMode="External"/><Relationship Id="rId1" Type="http://schemas.openxmlformats.org/officeDocument/2006/relationships/hyperlink" Target="mailto:fvera@claborem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I270"/>
  <sheetViews>
    <sheetView tabSelected="1" zoomScale="85" zoomScaleNormal="85" workbookViewId="0">
      <selection activeCell="E1" sqref="E1"/>
    </sheetView>
  </sheetViews>
  <sheetFormatPr baseColWidth="10" defaultColWidth="9.36328125" defaultRowHeight="14.15" customHeight="1" x14ac:dyDescent="0.3"/>
  <cols>
    <col min="1" max="1" width="1.6328125" style="8" customWidth="1"/>
    <col min="2" max="2" width="4.54296875" style="8" customWidth="1"/>
    <col min="3" max="3" width="12.54296875" style="8" customWidth="1"/>
    <col min="4" max="4" width="0.6328125" style="8" customWidth="1"/>
    <col min="5" max="5" width="11.54296875" style="8" customWidth="1"/>
    <col min="6" max="6" width="0.6328125" style="8" customWidth="1"/>
    <col min="7" max="7" width="11.54296875" style="8" customWidth="1"/>
    <col min="8" max="8" width="0.6328125" style="8" customWidth="1"/>
    <col min="9" max="9" width="11.54296875" style="8" customWidth="1"/>
    <col min="10" max="10" width="0.6328125" style="8" customWidth="1"/>
    <col min="11" max="11" width="11.54296875" style="8" customWidth="1"/>
    <col min="12" max="12" width="0.6328125" style="8" customWidth="1"/>
    <col min="13" max="13" width="12" style="8" customWidth="1"/>
    <col min="14" max="14" width="0.6328125" style="8" customWidth="1"/>
    <col min="15" max="15" width="11.54296875" style="8" customWidth="1"/>
    <col min="16" max="16" width="0.6328125" style="8" customWidth="1"/>
    <col min="17" max="17" width="11.54296875" style="8" customWidth="1"/>
    <col min="18" max="18" width="0.6328125" style="8" customWidth="1"/>
    <col min="19" max="19" width="12.26953125" style="8" customWidth="1"/>
    <col min="20" max="20" width="0.6328125" style="8" customWidth="1"/>
    <col min="21" max="21" width="12.54296875" style="8" customWidth="1"/>
    <col min="22" max="22" width="4.54296875" style="8" customWidth="1"/>
    <col min="23" max="23" width="1.6328125" style="8" customWidth="1"/>
    <col min="24" max="24" width="14.6328125" style="8" customWidth="1"/>
    <col min="25" max="25" width="0.81640625" style="8" customWidth="1"/>
    <col min="26" max="26" width="14.6328125" style="8" customWidth="1"/>
    <col min="27" max="31" width="3.6328125" style="8" hidden="1" customWidth="1"/>
    <col min="32" max="33" width="10.54296875" style="8" hidden="1" customWidth="1"/>
    <col min="34" max="34" width="14.6328125" style="8" hidden="1" customWidth="1"/>
    <col min="35" max="262" width="10.54296875" style="8" customWidth="1"/>
    <col min="263" max="16384" width="9.36328125" style="8"/>
  </cols>
  <sheetData>
    <row r="1" spans="2:32" ht="13.5" x14ac:dyDescent="0.3"/>
    <row r="2" spans="2:32" ht="13.5" x14ac:dyDescent="0.3"/>
    <row r="3" spans="2:32" ht="14.15" customHeight="1" thickBot="1" x14ac:dyDescent="0.35"/>
    <row r="4" spans="2:32" ht="16.25" customHeight="1" x14ac:dyDescent="0.35">
      <c r="B4" s="100" t="s">
        <v>150</v>
      </c>
      <c r="C4" s="97"/>
      <c r="D4" s="97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157" t="s">
        <v>233</v>
      </c>
      <c r="V4" s="99"/>
    </row>
    <row r="5" spans="2:32" ht="7.25" customHeight="1" x14ac:dyDescent="0.3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2:32" ht="15" customHeight="1" x14ac:dyDescent="0.3">
      <c r="B6" s="9"/>
      <c r="C6" s="12" t="s">
        <v>148</v>
      </c>
      <c r="D6" s="12"/>
      <c r="E6" s="10"/>
      <c r="F6" s="10"/>
      <c r="G6" s="13"/>
      <c r="H6" s="13"/>
      <c r="I6" s="197"/>
      <c r="J6" s="198"/>
      <c r="K6" s="199"/>
      <c r="L6" s="44"/>
      <c r="M6" s="101" t="s">
        <v>151</v>
      </c>
      <c r="N6" s="10"/>
      <c r="Q6" s="14" t="s">
        <v>40</v>
      </c>
      <c r="R6" s="14"/>
      <c r="S6" s="191"/>
      <c r="T6" s="192"/>
      <c r="U6" s="193"/>
      <c r="V6" s="11"/>
      <c r="X6" s="131" t="str">
        <f>IF(AE6&lt;&gt;0,"Faltan datos","")</f>
        <v>Faltan datos</v>
      </c>
      <c r="Y6" s="131"/>
      <c r="AB6" s="126">
        <f>IF(I6="",1,0)</f>
        <v>1</v>
      </c>
      <c r="AC6" s="126">
        <f>IF(S6="",1,0)</f>
        <v>1</v>
      </c>
      <c r="AE6" s="128">
        <f>SUM(AB6:AD6)</f>
        <v>2</v>
      </c>
      <c r="AF6" s="130"/>
    </row>
    <row r="7" spans="2:32" ht="7.25" customHeight="1" thickBot="1" x14ac:dyDescent="0.35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7"/>
      <c r="X7" s="2"/>
      <c r="Y7" s="2"/>
      <c r="AB7" s="125"/>
      <c r="AC7" s="125"/>
      <c r="AE7" s="125"/>
    </row>
    <row r="8" spans="2:32" ht="6" customHeight="1" thickBot="1" x14ac:dyDescent="0.3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X8" s="2"/>
      <c r="Y8" s="2"/>
      <c r="AB8" s="125"/>
      <c r="AC8" s="125"/>
      <c r="AE8" s="125"/>
    </row>
    <row r="9" spans="2:32" ht="7.25" customHeight="1" x14ac:dyDescent="0.3"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  <c r="X9" s="2"/>
      <c r="Y9" s="2"/>
      <c r="AB9" s="125"/>
      <c r="AC9" s="125"/>
      <c r="AE9" s="125"/>
    </row>
    <row r="10" spans="2:32" ht="15" customHeight="1" x14ac:dyDescent="0.3">
      <c r="B10" s="21"/>
      <c r="C10" s="22" t="s">
        <v>41</v>
      </c>
      <c r="D10" s="22"/>
      <c r="G10" s="206"/>
      <c r="H10" s="207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9"/>
      <c r="V10" s="23"/>
      <c r="X10" s="131" t="str">
        <f>IF(AE10&lt;&gt;0,"Faltan datos","")</f>
        <v>Faltan datos</v>
      </c>
      <c r="Y10" s="131"/>
      <c r="AB10" s="126">
        <f>IF(G10="",1,0)</f>
        <v>1</v>
      </c>
      <c r="AC10" s="125"/>
      <c r="AE10" s="128">
        <f>SUM(AB10:AD10)</f>
        <v>1</v>
      </c>
    </row>
    <row r="11" spans="2:32" ht="7.25" customHeight="1" x14ac:dyDescent="0.3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O11" s="10"/>
      <c r="P11" s="10"/>
      <c r="Q11" s="10"/>
      <c r="R11" s="10"/>
      <c r="S11" s="10"/>
      <c r="T11" s="10"/>
      <c r="U11" s="10"/>
      <c r="V11" s="11"/>
      <c r="X11" s="2"/>
      <c r="Y11" s="2"/>
      <c r="AB11" s="125"/>
      <c r="AC11" s="125"/>
      <c r="AE11" s="125"/>
    </row>
    <row r="12" spans="2:32" ht="15" customHeight="1" x14ac:dyDescent="0.3">
      <c r="B12" s="24"/>
      <c r="C12" s="12" t="s">
        <v>42</v>
      </c>
      <c r="D12" s="12"/>
      <c r="E12" s="10"/>
      <c r="F12" s="10"/>
      <c r="G12" s="206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18"/>
      <c r="V12" s="25"/>
      <c r="X12" s="131" t="str">
        <f>IF(AE12&lt;&gt;0,"Faltan datos","")</f>
        <v>Faltan datos</v>
      </c>
      <c r="Y12" s="131"/>
      <c r="AA12" s="41"/>
      <c r="AB12" s="126">
        <f>IF(G12="",1,0)</f>
        <v>1</v>
      </c>
      <c r="AC12" s="125"/>
      <c r="AE12" s="128">
        <f>SUM(AB12:AD12)</f>
        <v>1</v>
      </c>
    </row>
    <row r="13" spans="2:32" ht="7.25" customHeight="1" x14ac:dyDescent="0.3">
      <c r="B13" s="9"/>
      <c r="K13" s="10"/>
      <c r="L13" s="10"/>
      <c r="O13" s="10"/>
      <c r="P13" s="10"/>
      <c r="Q13" s="10"/>
      <c r="R13" s="10"/>
      <c r="S13" s="10"/>
      <c r="T13" s="10"/>
      <c r="U13" s="10"/>
      <c r="V13" s="11"/>
      <c r="X13" s="2"/>
      <c r="Y13" s="2"/>
      <c r="AB13" s="125"/>
      <c r="AC13" s="125"/>
      <c r="AE13" s="125"/>
    </row>
    <row r="14" spans="2:32" ht="15" customHeight="1" x14ac:dyDescent="0.3">
      <c r="B14" s="21"/>
      <c r="C14" s="12" t="s">
        <v>43</v>
      </c>
      <c r="D14" s="12"/>
      <c r="E14" s="26"/>
      <c r="F14" s="26"/>
      <c r="G14" s="191"/>
      <c r="H14" s="192"/>
      <c r="I14" s="193"/>
      <c r="J14" s="43"/>
      <c r="K14" s="10"/>
      <c r="L14" s="10"/>
      <c r="O14" s="33" t="s">
        <v>44</v>
      </c>
      <c r="P14" s="33"/>
      <c r="Q14" s="10"/>
      <c r="R14" s="10"/>
      <c r="S14" s="191"/>
      <c r="T14" s="192"/>
      <c r="U14" s="193"/>
      <c r="V14" s="11"/>
      <c r="X14" s="131" t="str">
        <f>IF(AE14&lt;&gt;0,"Faltan datos","")</f>
        <v>Faltan datos</v>
      </c>
      <c r="Y14" s="131"/>
      <c r="AB14" s="126">
        <f>IF(G14="",1,0)</f>
        <v>1</v>
      </c>
      <c r="AC14" s="126">
        <f>IF(S14="",1,0)</f>
        <v>1</v>
      </c>
      <c r="AE14" s="128">
        <f>SUM(AB14:AD14)</f>
        <v>2</v>
      </c>
    </row>
    <row r="15" spans="2:32" ht="7.25" customHeight="1" x14ac:dyDescent="0.3">
      <c r="B15" s="21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12"/>
      <c r="N15" s="12"/>
      <c r="O15" s="10"/>
      <c r="P15" s="10"/>
      <c r="Q15" s="10"/>
      <c r="R15" s="10"/>
      <c r="S15" s="10"/>
      <c r="T15" s="10"/>
      <c r="U15" s="10"/>
      <c r="V15" s="11"/>
      <c r="X15" s="2"/>
      <c r="Y15" s="2"/>
      <c r="AB15" s="125"/>
      <c r="AC15" s="125"/>
      <c r="AE15" s="125"/>
    </row>
    <row r="16" spans="2:32" ht="15" customHeight="1" x14ac:dyDescent="0.3">
      <c r="B16" s="21"/>
      <c r="C16" s="12" t="s">
        <v>144</v>
      </c>
      <c r="D16" s="12"/>
      <c r="G16" s="200"/>
      <c r="H16" s="201"/>
      <c r="I16" s="202"/>
      <c r="J16" s="202"/>
      <c r="K16" s="203"/>
      <c r="L16" s="80"/>
      <c r="M16" s="12"/>
      <c r="N16" s="12"/>
      <c r="O16" s="200"/>
      <c r="P16" s="201"/>
      <c r="Q16" s="201"/>
      <c r="R16" s="201"/>
      <c r="S16" s="204"/>
      <c r="T16" s="86"/>
      <c r="V16" s="11"/>
      <c r="X16" s="131" t="str">
        <f>IF(AE16&lt;&gt;0,"Faltan datos","")</f>
        <v>Faltan datos</v>
      </c>
      <c r="Y16" s="131"/>
      <c r="AB16" s="126">
        <f>IF(G16="",1,0)</f>
        <v>1</v>
      </c>
      <c r="AC16" s="126">
        <f>IF(O16="",1,0)</f>
        <v>1</v>
      </c>
      <c r="AE16" s="128">
        <f>SUM(AB16:AD16)</f>
        <v>2</v>
      </c>
    </row>
    <row r="17" spans="1:31" ht="7.25" customHeight="1" x14ac:dyDescent="0.3">
      <c r="B17" s="21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12"/>
      <c r="N17" s="12"/>
      <c r="O17" s="10"/>
      <c r="P17" s="10"/>
      <c r="Q17" s="10"/>
      <c r="R17" s="10"/>
      <c r="S17" s="10"/>
      <c r="T17" s="10"/>
      <c r="U17" s="10"/>
      <c r="V17" s="11"/>
      <c r="X17" s="2"/>
      <c r="Y17" s="2"/>
      <c r="AB17" s="125"/>
      <c r="AC17" s="125"/>
      <c r="AE17" s="125"/>
    </row>
    <row r="18" spans="1:31" ht="15" customHeight="1" x14ac:dyDescent="0.3">
      <c r="B18" s="21"/>
      <c r="C18" s="12" t="s">
        <v>45</v>
      </c>
      <c r="D18" s="12"/>
      <c r="G18" s="206"/>
      <c r="H18" s="207"/>
      <c r="I18" s="208"/>
      <c r="J18" s="208"/>
      <c r="K18" s="209"/>
      <c r="L18" s="81"/>
      <c r="M18" s="12" t="s">
        <v>46</v>
      </c>
      <c r="N18" s="12"/>
      <c r="Q18" s="206"/>
      <c r="R18" s="207"/>
      <c r="S18" s="208"/>
      <c r="T18" s="208"/>
      <c r="U18" s="209"/>
      <c r="V18" s="11"/>
      <c r="X18" s="131" t="str">
        <f>IF(AE18&lt;&gt;0,"Faltan datos","")</f>
        <v>Faltan datos</v>
      </c>
      <c r="Y18" s="131"/>
      <c r="AB18" s="126">
        <f>IF(G18="",1,0)</f>
        <v>1</v>
      </c>
      <c r="AC18" s="126">
        <f>IF(Q18="",1,0)</f>
        <v>1</v>
      </c>
      <c r="AE18" s="128">
        <f>SUM(AB18:AD18)</f>
        <v>2</v>
      </c>
    </row>
    <row r="19" spans="1:31" ht="7.25" customHeight="1" x14ac:dyDescent="0.3">
      <c r="B19" s="21"/>
      <c r="C19" s="12"/>
      <c r="D19" s="12"/>
      <c r="G19" s="10"/>
      <c r="H19" s="10"/>
      <c r="I19" s="10"/>
      <c r="J19" s="10"/>
      <c r="K19" s="10"/>
      <c r="L19" s="10"/>
      <c r="M19" s="12"/>
      <c r="N19" s="12"/>
      <c r="Q19" s="10"/>
      <c r="R19" s="10"/>
      <c r="S19" s="10"/>
      <c r="T19" s="10"/>
      <c r="U19" s="10"/>
      <c r="V19" s="11"/>
      <c r="X19" s="2"/>
      <c r="Y19" s="2"/>
      <c r="AB19" s="125"/>
      <c r="AC19" s="125"/>
      <c r="AE19" s="125"/>
    </row>
    <row r="20" spans="1:31" ht="15" customHeight="1" x14ac:dyDescent="0.3">
      <c r="B20" s="21"/>
      <c r="C20" s="12" t="s">
        <v>76</v>
      </c>
      <c r="D20" s="12"/>
      <c r="G20" s="206"/>
      <c r="H20" s="207"/>
      <c r="I20" s="208"/>
      <c r="J20" s="208"/>
      <c r="K20" s="209"/>
      <c r="L20" s="81"/>
      <c r="M20" s="12" t="s">
        <v>75</v>
      </c>
      <c r="N20" s="12"/>
      <c r="Q20" s="219"/>
      <c r="R20" s="207"/>
      <c r="S20" s="208"/>
      <c r="T20" s="208"/>
      <c r="U20" s="209"/>
      <c r="V20" s="11"/>
      <c r="X20" s="131" t="str">
        <f>IF(AE20&lt;&gt;0,"Faltan datos","")</f>
        <v>Faltan datos</v>
      </c>
      <c r="Y20" s="131"/>
      <c r="AB20" s="126">
        <f>IF(G20="",1,0)</f>
        <v>1</v>
      </c>
      <c r="AC20" s="126">
        <f>IF(Q20="",1,0)</f>
        <v>1</v>
      </c>
      <c r="AE20" s="128">
        <f>SUM(AB20:AD20)</f>
        <v>2</v>
      </c>
    </row>
    <row r="21" spans="1:31" ht="7.25" customHeight="1" thickBot="1" x14ac:dyDescent="0.35">
      <c r="B21" s="27"/>
      <c r="C21" s="28"/>
      <c r="D21" s="28"/>
      <c r="E21" s="16"/>
      <c r="F21" s="16"/>
      <c r="G21" s="16"/>
      <c r="H21" s="16"/>
      <c r="I21" s="16"/>
      <c r="J21" s="16"/>
      <c r="K21" s="16"/>
      <c r="L21" s="16"/>
      <c r="M21" s="28"/>
      <c r="N21" s="28"/>
      <c r="O21" s="16"/>
      <c r="P21" s="16"/>
      <c r="Q21" s="16"/>
      <c r="R21" s="16"/>
      <c r="S21" s="16"/>
      <c r="T21" s="16"/>
      <c r="U21" s="16"/>
      <c r="V21" s="17"/>
      <c r="X21" s="2"/>
      <c r="Y21" s="2"/>
      <c r="AB21" s="125"/>
      <c r="AC21" s="125"/>
      <c r="AE21" s="125"/>
    </row>
    <row r="22" spans="1:31" ht="6" customHeight="1" thickBot="1" x14ac:dyDescent="0.35">
      <c r="A22" s="3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2"/>
      <c r="Y22" s="2"/>
      <c r="AB22" s="125"/>
      <c r="AC22" s="125"/>
      <c r="AE22" s="125"/>
    </row>
    <row r="23" spans="1:31" ht="7.25" customHeight="1" x14ac:dyDescent="0.3">
      <c r="A23" s="35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  <c r="X23" s="2"/>
      <c r="Y23" s="2"/>
      <c r="AB23" s="125"/>
      <c r="AC23" s="125"/>
      <c r="AE23" s="125"/>
    </row>
    <row r="24" spans="1:31" ht="16.25" customHeight="1" x14ac:dyDescent="0.3">
      <c r="A24" s="35"/>
      <c r="B24" s="31"/>
      <c r="C24" s="22" t="s">
        <v>158</v>
      </c>
      <c r="D24" s="22"/>
      <c r="E24" s="22"/>
      <c r="F24" s="22"/>
      <c r="G24" s="215"/>
      <c r="H24" s="216"/>
      <c r="I24" s="216"/>
      <c r="J24" s="216"/>
      <c r="K24" s="216"/>
      <c r="L24" s="216"/>
      <c r="M24" s="216"/>
      <c r="N24" s="216"/>
      <c r="O24" s="217"/>
      <c r="P24" s="50"/>
      <c r="Q24" s="22" t="s">
        <v>159</v>
      </c>
      <c r="U24" s="111"/>
      <c r="V24" s="32"/>
      <c r="X24" s="131" t="str">
        <f>IF(AE24&lt;&gt;0,"Faltan datos","")</f>
        <v>Faltan datos</v>
      </c>
      <c r="Y24" s="131"/>
      <c r="AB24" s="126">
        <f>IF(G24="",1,0)</f>
        <v>1</v>
      </c>
      <c r="AC24" s="126">
        <f>IF(U24="",1,0)</f>
        <v>1</v>
      </c>
      <c r="AE24" s="128">
        <f>SUM(AB24:AD24)</f>
        <v>2</v>
      </c>
    </row>
    <row r="25" spans="1:31" ht="7.25" customHeight="1" x14ac:dyDescent="0.3">
      <c r="A25" s="35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  <c r="X25" s="2"/>
      <c r="Y25" s="2"/>
      <c r="AB25" s="125"/>
      <c r="AC25" s="125"/>
      <c r="AE25" s="125"/>
    </row>
    <row r="26" spans="1:31" ht="15" customHeight="1" x14ac:dyDescent="0.3">
      <c r="A26" s="35"/>
      <c r="B26" s="31"/>
      <c r="C26" s="22" t="s">
        <v>160</v>
      </c>
      <c r="D26" s="22"/>
      <c r="E26" s="220"/>
      <c r="F26" s="195"/>
      <c r="G26" s="221"/>
      <c r="K26" s="22" t="s">
        <v>65</v>
      </c>
      <c r="M26" s="206"/>
      <c r="N26" s="207"/>
      <c r="O26" s="207"/>
      <c r="P26" s="207"/>
      <c r="Q26" s="207"/>
      <c r="R26" s="207"/>
      <c r="S26" s="207"/>
      <c r="T26" s="207"/>
      <c r="U26" s="218"/>
      <c r="V26" s="32"/>
      <c r="X26" s="131" t="str">
        <f>IF(AE26&lt;&gt;0,"Faltan datos","")</f>
        <v>Faltan datos</v>
      </c>
      <c r="Y26" s="131"/>
      <c r="AB26" s="126">
        <f>IF(E26="",1,0)</f>
        <v>1</v>
      </c>
      <c r="AC26" s="126">
        <f>IF(M26="",1,0)</f>
        <v>1</v>
      </c>
      <c r="AE26" s="128">
        <f>SUM(AB26:AD26)</f>
        <v>2</v>
      </c>
    </row>
    <row r="27" spans="1:31" ht="7.25" customHeight="1" x14ac:dyDescent="0.3">
      <c r="A27" s="35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X27" s="2"/>
      <c r="Y27" s="2"/>
      <c r="AB27" s="125"/>
      <c r="AC27" s="125"/>
      <c r="AD27" s="125"/>
    </row>
    <row r="28" spans="1:31" ht="15" customHeight="1" x14ac:dyDescent="0.3">
      <c r="A28" s="35"/>
      <c r="B28" s="9"/>
      <c r="C28" s="12" t="s">
        <v>66</v>
      </c>
      <c r="D28" s="22"/>
      <c r="E28" s="206"/>
      <c r="F28" s="207"/>
      <c r="G28" s="208"/>
      <c r="H28" s="208"/>
      <c r="I28" s="209"/>
      <c r="J28" s="22"/>
      <c r="K28" s="22" t="s">
        <v>161</v>
      </c>
      <c r="L28" s="109"/>
      <c r="M28" s="61"/>
      <c r="N28" s="110"/>
      <c r="O28" s="22" t="s">
        <v>67</v>
      </c>
      <c r="P28" s="51"/>
      <c r="Q28" s="206"/>
      <c r="R28" s="207"/>
      <c r="S28" s="207"/>
      <c r="T28" s="207"/>
      <c r="U28" s="218"/>
      <c r="V28" s="11"/>
      <c r="X28" s="131" t="str">
        <f>IF(AE28&lt;&gt;0,"Faltan datos","")</f>
        <v>Faltan datos</v>
      </c>
      <c r="Y28" s="131"/>
      <c r="AB28" s="126">
        <f>IF(E28="",1,0)</f>
        <v>1</v>
      </c>
      <c r="AC28" s="126">
        <f>IF(M28="",1,0)</f>
        <v>1</v>
      </c>
      <c r="AD28" s="126">
        <f>IF(Q28="",1,0)</f>
        <v>1</v>
      </c>
      <c r="AE28" s="128">
        <f>SUM(AB28:AD28)</f>
        <v>3</v>
      </c>
    </row>
    <row r="29" spans="1:31" ht="7.25" customHeight="1" x14ac:dyDescent="0.3">
      <c r="A29" s="35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X29" s="2"/>
      <c r="Y29" s="2"/>
      <c r="AB29" s="125"/>
      <c r="AC29" s="125"/>
      <c r="AD29" s="125"/>
    </row>
    <row r="30" spans="1:31" ht="15" customHeight="1" x14ac:dyDescent="0.3">
      <c r="A30" s="35"/>
      <c r="B30" s="9"/>
      <c r="C30" s="22" t="s">
        <v>68</v>
      </c>
      <c r="D30" s="22"/>
      <c r="E30" s="206"/>
      <c r="F30" s="207"/>
      <c r="G30" s="208"/>
      <c r="H30" s="208"/>
      <c r="I30" s="208"/>
      <c r="J30" s="208"/>
      <c r="K30" s="208"/>
      <c r="L30" s="208"/>
      <c r="M30" s="209"/>
      <c r="N30" s="81"/>
      <c r="Q30" s="22" t="s">
        <v>69</v>
      </c>
      <c r="R30" s="22"/>
      <c r="S30" s="210"/>
      <c r="T30" s="211"/>
      <c r="U30" s="212"/>
      <c r="V30" s="11"/>
      <c r="X30" s="131" t="str">
        <f>IF(AE30&lt;&gt;0,"Faltan datos","")</f>
        <v>Faltan datos</v>
      </c>
      <c r="Y30" s="131"/>
      <c r="AB30" s="126">
        <f>IF(E30="",1,0)</f>
        <v>1</v>
      </c>
      <c r="AC30" s="126">
        <f>IF(S30="",1,0)</f>
        <v>1</v>
      </c>
      <c r="AE30" s="128">
        <f>SUM(AB30:AD30)</f>
        <v>2</v>
      </c>
    </row>
    <row r="31" spans="1:31" ht="7.25" customHeight="1" x14ac:dyDescent="0.3">
      <c r="A31" s="35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V31" s="11"/>
      <c r="X31" s="2"/>
      <c r="Y31" s="2"/>
      <c r="AB31" s="125"/>
      <c r="AC31" s="125"/>
      <c r="AE31" s="125"/>
    </row>
    <row r="32" spans="1:31" ht="15" customHeight="1" x14ac:dyDescent="0.3">
      <c r="A32" s="35"/>
      <c r="B32" s="31"/>
      <c r="C32" s="22" t="s">
        <v>70</v>
      </c>
      <c r="D32" s="22"/>
      <c r="E32" s="194"/>
      <c r="F32" s="195"/>
      <c r="G32" s="195"/>
      <c r="H32" s="195"/>
      <c r="I32" s="195"/>
      <c r="J32" s="195"/>
      <c r="K32" s="195"/>
      <c r="L32" s="195"/>
      <c r="M32" s="196"/>
      <c r="N32" s="85"/>
      <c r="Q32" s="22" t="s">
        <v>71</v>
      </c>
      <c r="R32" s="22"/>
      <c r="S32" s="210"/>
      <c r="T32" s="211"/>
      <c r="U32" s="212"/>
      <c r="V32" s="32"/>
      <c r="X32" s="131" t="str">
        <f>IF(AE32&lt;&gt;0,"Faltan datos","")</f>
        <v>Faltan datos</v>
      </c>
      <c r="Y32" s="131"/>
      <c r="AB32" s="126">
        <f>IF(E32="",1,0)</f>
        <v>1</v>
      </c>
      <c r="AC32" s="126">
        <f>IF(S32="",1,0)</f>
        <v>1</v>
      </c>
      <c r="AE32" s="128">
        <f>SUM(AB32:AD32)</f>
        <v>2</v>
      </c>
    </row>
    <row r="33" spans="1:35" ht="7.25" customHeight="1" thickBot="1" x14ac:dyDescent="0.35">
      <c r="A33" s="35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7"/>
      <c r="X33" s="2"/>
      <c r="Y33" s="2"/>
      <c r="AB33" s="125"/>
      <c r="AC33" s="125"/>
      <c r="AE33" s="125"/>
    </row>
    <row r="34" spans="1:35" ht="6" customHeight="1" thickBot="1" x14ac:dyDescent="0.35">
      <c r="A34" s="3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2"/>
      <c r="Y34" s="2"/>
      <c r="AB34" s="125"/>
      <c r="AC34" s="125"/>
      <c r="AE34" s="125"/>
      <c r="AI34" s="140"/>
    </row>
    <row r="35" spans="1:35" ht="7.25" customHeight="1" thickBot="1" x14ac:dyDescent="0.35">
      <c r="B35" s="29"/>
      <c r="C35" s="30"/>
      <c r="D35" s="30"/>
      <c r="E35" s="19"/>
      <c r="F35" s="19"/>
      <c r="G35" s="19"/>
      <c r="H35" s="19"/>
      <c r="I35" s="19"/>
      <c r="J35" s="19"/>
      <c r="K35" s="19"/>
      <c r="L35" s="19"/>
      <c r="M35" s="30"/>
      <c r="N35" s="30"/>
      <c r="O35" s="19"/>
      <c r="P35" s="19"/>
      <c r="Q35" s="19"/>
      <c r="R35" s="19"/>
      <c r="S35" s="19"/>
      <c r="T35" s="19"/>
      <c r="U35" s="19"/>
      <c r="V35" s="20"/>
      <c r="X35" s="2"/>
      <c r="Y35" s="2"/>
      <c r="AB35" s="125"/>
      <c r="AC35" s="125"/>
      <c r="AE35" s="125"/>
    </row>
    <row r="36" spans="1:35" ht="15" customHeight="1" thickTop="1" x14ac:dyDescent="0.3">
      <c r="B36" s="21"/>
      <c r="C36" s="12" t="s">
        <v>47</v>
      </c>
      <c r="D36" s="12"/>
      <c r="E36" s="61" t="s">
        <v>169</v>
      </c>
      <c r="G36" s="12" t="s">
        <v>224</v>
      </c>
      <c r="I36" s="158" t="s">
        <v>228</v>
      </c>
      <c r="J36" s="44"/>
      <c r="O36" s="12" t="s">
        <v>232</v>
      </c>
      <c r="P36" s="12"/>
      <c r="Q36" s="10"/>
      <c r="R36" s="10"/>
      <c r="S36" s="61"/>
      <c r="T36" s="109"/>
      <c r="U36" s="109"/>
      <c r="V36" s="11"/>
      <c r="X36" s="131" t="str">
        <f>IF(AE36&lt;&gt;0,"Faltan datos","")</f>
        <v>Faltan datos</v>
      </c>
      <c r="Y36" s="131"/>
      <c r="Z36" s="175" t="s">
        <v>173</v>
      </c>
      <c r="AB36" s="126">
        <f>IF(E36="Definir riesgo",1,0)</f>
        <v>1</v>
      </c>
      <c r="AC36" s="126">
        <f>IF(I36="Designar tipo",1,0)</f>
        <v>0</v>
      </c>
      <c r="AD36" s="126">
        <f>IF(S36="Designar tipo",1,0)</f>
        <v>0</v>
      </c>
      <c r="AE36" s="128">
        <f>SUM(AB36:AD36)</f>
        <v>1</v>
      </c>
      <c r="AG36" s="173" t="s">
        <v>178</v>
      </c>
      <c r="AH36" s="174"/>
      <c r="AI36" s="147" t="s">
        <v>177</v>
      </c>
    </row>
    <row r="37" spans="1:35" ht="7.25" customHeight="1" x14ac:dyDescent="0.3">
      <c r="B37" s="21"/>
      <c r="C37" s="12"/>
      <c r="D37" s="12"/>
      <c r="E37" s="10"/>
      <c r="F37" s="10"/>
      <c r="G37" s="10"/>
      <c r="H37" s="10"/>
      <c r="I37" s="10"/>
      <c r="J37" s="10"/>
      <c r="K37" s="10"/>
      <c r="L37" s="10"/>
      <c r="M37" s="12"/>
      <c r="N37" s="12"/>
      <c r="O37" s="10"/>
      <c r="P37" s="10"/>
      <c r="Q37" s="10"/>
      <c r="R37" s="10"/>
      <c r="S37" s="10"/>
      <c r="T37" s="10"/>
      <c r="U37" s="10"/>
      <c r="V37" s="11"/>
      <c r="X37" s="2"/>
      <c r="Y37" s="2"/>
      <c r="Z37" s="176"/>
      <c r="AB37" s="125"/>
      <c r="AC37" s="125"/>
      <c r="AD37" s="125"/>
      <c r="AG37" s="148"/>
      <c r="AH37" s="149"/>
    </row>
    <row r="38" spans="1:35" ht="15" customHeight="1" x14ac:dyDescent="0.3">
      <c r="B38" s="21"/>
      <c r="C38" s="213" t="s">
        <v>48</v>
      </c>
      <c r="D38" s="213"/>
      <c r="E38" s="213"/>
      <c r="F38" s="213"/>
      <c r="G38" s="213"/>
      <c r="H38" s="213"/>
      <c r="I38" s="213"/>
      <c r="J38" s="45"/>
      <c r="K38" s="214" t="s">
        <v>49</v>
      </c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11"/>
      <c r="X38" s="2"/>
      <c r="Y38" s="2"/>
      <c r="Z38" s="141">
        <f>+S36</f>
        <v>0</v>
      </c>
      <c r="AB38" s="125"/>
      <c r="AC38" s="125"/>
      <c r="AD38" s="125"/>
      <c r="AG38" s="150" t="s">
        <v>168</v>
      </c>
      <c r="AH38" s="156" t="s">
        <v>179</v>
      </c>
      <c r="AI38" s="147" t="s">
        <v>177</v>
      </c>
    </row>
    <row r="39" spans="1:35" ht="5.15" customHeight="1" x14ac:dyDescent="0.3">
      <c r="B39" s="21"/>
      <c r="E39" s="10"/>
      <c r="F39" s="10"/>
      <c r="G39" s="10"/>
      <c r="H39" s="10"/>
      <c r="I39" s="10"/>
      <c r="J39" s="46"/>
      <c r="K39" s="10"/>
      <c r="L39" s="10"/>
      <c r="M39" s="12"/>
      <c r="N39" s="12"/>
      <c r="O39" s="10"/>
      <c r="P39" s="10"/>
      <c r="Q39" s="10"/>
      <c r="R39" s="10"/>
      <c r="S39" s="10"/>
      <c r="T39" s="10"/>
      <c r="U39" s="10"/>
      <c r="V39" s="11"/>
      <c r="X39" s="2"/>
      <c r="Y39" s="2"/>
      <c r="Z39" s="142"/>
      <c r="AB39" s="125"/>
      <c r="AC39" s="125"/>
      <c r="AD39" s="125"/>
      <c r="AG39" s="152"/>
      <c r="AH39" s="153"/>
    </row>
    <row r="40" spans="1:35" ht="16.25" customHeight="1" x14ac:dyDescent="0.3">
      <c r="B40" s="21"/>
      <c r="C40" s="68" t="s">
        <v>0</v>
      </c>
      <c r="D40" s="68"/>
      <c r="E40" s="5"/>
      <c r="F40" s="5"/>
      <c r="G40" s="6"/>
      <c r="H40" s="6"/>
      <c r="I40" s="79" t="s">
        <v>35</v>
      </c>
      <c r="J40" s="47"/>
      <c r="K40" s="177" t="s">
        <v>50</v>
      </c>
      <c r="L40" s="177"/>
      <c r="M40" s="177"/>
      <c r="N40" s="177"/>
      <c r="O40" s="63" t="str">
        <f>IF(Tablas!$K$15=0,"no","si")</f>
        <v>no</v>
      </c>
      <c r="P40" s="52"/>
      <c r="Q40" s="177" t="s">
        <v>24</v>
      </c>
      <c r="R40" s="177"/>
      <c r="S40" s="177"/>
      <c r="T40" s="177"/>
      <c r="U40" s="63" t="str">
        <f>IF($I$58="si","si","no")</f>
        <v>no</v>
      </c>
      <c r="V40" s="11"/>
      <c r="X40" s="131" t="str">
        <f>IF(AB62=1,"Falta indicar tarea","")</f>
        <v>Falta indicar tarea</v>
      </c>
      <c r="Y40" s="2"/>
      <c r="Z40" s="222" t="str">
        <f>IFERROR(VLOOKUP(Z38,$AG$38:$AH$50,2,FALSE),"-")</f>
        <v>-</v>
      </c>
      <c r="AB40" s="127">
        <f>IF(I40="no",1,0)</f>
        <v>1</v>
      </c>
      <c r="AC40" s="129"/>
      <c r="AD40" s="129"/>
      <c r="AG40" s="150" t="s">
        <v>11</v>
      </c>
      <c r="AH40" s="156" t="s">
        <v>174</v>
      </c>
      <c r="AI40" s="147" t="s">
        <v>177</v>
      </c>
    </row>
    <row r="41" spans="1:35" ht="3" customHeight="1" x14ac:dyDescent="0.3">
      <c r="B41" s="21"/>
      <c r="C41" s="69"/>
      <c r="D41" s="69"/>
      <c r="G41" s="10"/>
      <c r="H41" s="10"/>
      <c r="I41" s="7"/>
      <c r="J41" s="48"/>
      <c r="K41" s="108"/>
      <c r="L41" s="108"/>
      <c r="M41" s="108"/>
      <c r="N41" s="108"/>
      <c r="O41" s="37"/>
      <c r="P41" s="54"/>
      <c r="Q41" s="62"/>
      <c r="R41" s="62"/>
      <c r="S41" s="62"/>
      <c r="T41" s="62"/>
      <c r="U41" s="38"/>
      <c r="V41" s="11"/>
      <c r="X41" s="2"/>
      <c r="Y41" s="2"/>
      <c r="Z41" s="222"/>
      <c r="AB41" s="125"/>
      <c r="AC41" s="125"/>
      <c r="AD41" s="125"/>
      <c r="AG41" s="152"/>
      <c r="AH41" s="151"/>
    </row>
    <row r="42" spans="1:35" ht="16.25" customHeight="1" x14ac:dyDescent="0.3">
      <c r="B42" s="21"/>
      <c r="C42" s="68" t="s">
        <v>1</v>
      </c>
      <c r="D42" s="68"/>
      <c r="E42" s="5"/>
      <c r="F42" s="5"/>
      <c r="G42" s="6"/>
      <c r="H42" s="6"/>
      <c r="I42" s="79" t="s">
        <v>35</v>
      </c>
      <c r="J42" s="47"/>
      <c r="K42" s="177" t="s">
        <v>14</v>
      </c>
      <c r="L42" s="177"/>
      <c r="M42" s="177"/>
      <c r="N42" s="177"/>
      <c r="O42" s="63" t="str">
        <f>IF(Tablas!$K$15=0,"no","si")</f>
        <v>no</v>
      </c>
      <c r="P42" s="53"/>
      <c r="Q42" s="223" t="s">
        <v>25</v>
      </c>
      <c r="R42" s="224"/>
      <c r="S42" s="224"/>
      <c r="T42" s="224"/>
      <c r="U42" s="63" t="str">
        <f>IF($I$52="si","si","no")</f>
        <v>no</v>
      </c>
      <c r="V42" s="11"/>
      <c r="X42" s="2"/>
      <c r="Y42" s="2"/>
      <c r="Z42" s="222"/>
      <c r="AB42" s="127">
        <f>IF(I42="no",1,0)</f>
        <v>1</v>
      </c>
      <c r="AC42" s="129"/>
      <c r="AD42" s="129"/>
      <c r="AG42" s="150" t="s">
        <v>34</v>
      </c>
      <c r="AH42" s="156" t="s">
        <v>175</v>
      </c>
      <c r="AI42" s="147" t="s">
        <v>177</v>
      </c>
    </row>
    <row r="43" spans="1:35" ht="3" customHeight="1" x14ac:dyDescent="0.3">
      <c r="B43" s="21"/>
      <c r="C43" s="69"/>
      <c r="D43" s="69"/>
      <c r="G43" s="10"/>
      <c r="H43" s="10"/>
      <c r="I43" s="7"/>
      <c r="J43" s="48"/>
      <c r="K43" s="108"/>
      <c r="L43" s="108"/>
      <c r="M43" s="108"/>
      <c r="N43" s="108"/>
      <c r="O43" s="37"/>
      <c r="P43" s="54"/>
      <c r="Q43" s="36"/>
      <c r="R43" s="36"/>
      <c r="S43" s="36"/>
      <c r="T43" s="36"/>
      <c r="V43" s="11"/>
      <c r="X43" s="2"/>
      <c r="Y43" s="2"/>
      <c r="Z43" s="222"/>
      <c r="AB43" s="125"/>
      <c r="AC43" s="125"/>
      <c r="AD43" s="125"/>
      <c r="AG43" s="150"/>
      <c r="AH43" s="151"/>
    </row>
    <row r="44" spans="1:35" ht="16.25" customHeight="1" x14ac:dyDescent="0.3">
      <c r="B44" s="21"/>
      <c r="C44" s="68" t="s">
        <v>2</v>
      </c>
      <c r="D44" s="68"/>
      <c r="E44" s="5"/>
      <c r="F44" s="5"/>
      <c r="G44" s="6"/>
      <c r="H44" s="6"/>
      <c r="I44" s="79" t="s">
        <v>35</v>
      </c>
      <c r="J44" s="47"/>
      <c r="K44" s="177" t="s">
        <v>15</v>
      </c>
      <c r="L44" s="177"/>
      <c r="M44" s="177"/>
      <c r="N44" s="177"/>
      <c r="O44" s="63" t="str">
        <f>IF(Tablas!$K$15=0,"no","si")</f>
        <v>no</v>
      </c>
      <c r="P44" s="53"/>
      <c r="Q44" s="205" t="s">
        <v>26</v>
      </c>
      <c r="R44" s="205"/>
      <c r="S44" s="205"/>
      <c r="T44" s="205"/>
      <c r="U44" s="205"/>
      <c r="V44" s="11"/>
      <c r="X44" s="2"/>
      <c r="Y44" s="2"/>
      <c r="Z44" s="222"/>
      <c r="AB44" s="127">
        <f>IF(I44="no",1,0)</f>
        <v>1</v>
      </c>
      <c r="AC44" s="129"/>
      <c r="AG44" s="150" t="s">
        <v>12</v>
      </c>
      <c r="AH44" s="156" t="s">
        <v>176</v>
      </c>
    </row>
    <row r="45" spans="1:35" ht="3" customHeight="1" x14ac:dyDescent="0.3">
      <c r="B45" s="21"/>
      <c r="C45" s="69"/>
      <c r="D45" s="69"/>
      <c r="G45" s="10"/>
      <c r="H45" s="10"/>
      <c r="I45" s="7"/>
      <c r="J45" s="48"/>
      <c r="K45" s="108"/>
      <c r="L45" s="108"/>
      <c r="M45" s="108"/>
      <c r="N45" s="108"/>
      <c r="O45" s="37"/>
      <c r="P45" s="54"/>
      <c r="Q45" s="10"/>
      <c r="R45" s="10"/>
      <c r="S45" s="10"/>
      <c r="T45" s="10"/>
      <c r="U45" s="10"/>
      <c r="V45" s="11"/>
      <c r="X45" s="2"/>
      <c r="Y45" s="2"/>
      <c r="Z45" s="222"/>
      <c r="AB45" s="125"/>
      <c r="AC45" s="125"/>
      <c r="AG45" s="150"/>
      <c r="AH45" s="151"/>
    </row>
    <row r="46" spans="1:35" ht="16.25" customHeight="1" x14ac:dyDescent="0.3">
      <c r="B46" s="21"/>
      <c r="C46" s="68" t="s">
        <v>3</v>
      </c>
      <c r="D46" s="68"/>
      <c r="E46" s="5"/>
      <c r="F46" s="5"/>
      <c r="G46" s="6"/>
      <c r="H46" s="6"/>
      <c r="I46" s="79" t="s">
        <v>35</v>
      </c>
      <c r="J46" s="47"/>
      <c r="K46" s="177" t="s">
        <v>51</v>
      </c>
      <c r="L46" s="177"/>
      <c r="M46" s="177"/>
      <c r="N46" s="177"/>
      <c r="O46" s="63" t="str">
        <f>IF(Tablas!$K$15=0,"no","si")</f>
        <v>no</v>
      </c>
      <c r="P46" s="53"/>
      <c r="Q46" s="177" t="s">
        <v>52</v>
      </c>
      <c r="R46" s="177"/>
      <c r="S46" s="177"/>
      <c r="T46" s="177"/>
      <c r="U46" s="79" t="s">
        <v>35</v>
      </c>
      <c r="V46" s="11"/>
      <c r="X46" s="2"/>
      <c r="Y46" s="2"/>
      <c r="Z46" s="222"/>
      <c r="AB46" s="127">
        <f>IF(I46="no",1,0)</f>
        <v>1</v>
      </c>
      <c r="AC46" s="129"/>
      <c r="AG46" s="150" t="s">
        <v>197</v>
      </c>
      <c r="AH46" s="156" t="s">
        <v>240</v>
      </c>
    </row>
    <row r="47" spans="1:35" ht="3" customHeight="1" x14ac:dyDescent="0.3">
      <c r="B47" s="21"/>
      <c r="C47" s="69"/>
      <c r="D47" s="69"/>
      <c r="G47" s="10"/>
      <c r="H47" s="10"/>
      <c r="I47" s="7"/>
      <c r="J47" s="48"/>
      <c r="K47" s="108"/>
      <c r="L47" s="108"/>
      <c r="M47" s="108"/>
      <c r="N47" s="108"/>
      <c r="O47" s="37"/>
      <c r="P47" s="54"/>
      <c r="Q47" s="10"/>
      <c r="R47" s="10"/>
      <c r="S47" s="10"/>
      <c r="T47" s="10"/>
      <c r="U47" s="10"/>
      <c r="V47" s="11"/>
      <c r="X47" s="2"/>
      <c r="Y47" s="2"/>
      <c r="Z47" s="222"/>
      <c r="AB47" s="125"/>
      <c r="AC47" s="125"/>
      <c r="AG47" s="150"/>
      <c r="AH47" s="151"/>
    </row>
    <row r="48" spans="1:35" ht="16.25" customHeight="1" x14ac:dyDescent="0.3">
      <c r="B48" s="21"/>
      <c r="C48" s="68" t="s">
        <v>4</v>
      </c>
      <c r="D48" s="68"/>
      <c r="E48" s="5"/>
      <c r="F48" s="5"/>
      <c r="G48" s="6"/>
      <c r="H48" s="6"/>
      <c r="I48" s="79" t="s">
        <v>35</v>
      </c>
      <c r="J48" s="47"/>
      <c r="K48" s="177" t="s">
        <v>16</v>
      </c>
      <c r="L48" s="177"/>
      <c r="M48" s="177"/>
      <c r="N48" s="177"/>
      <c r="O48" s="63" t="str">
        <f>IF($I$42="si","si",IF($I$44="si","si",IF($I$56="si","si",IF($I$60="si","si","no"))))</f>
        <v>no</v>
      </c>
      <c r="P48" s="53"/>
      <c r="Q48" s="177" t="s">
        <v>53</v>
      </c>
      <c r="R48" s="177"/>
      <c r="S48" s="177"/>
      <c r="T48" s="177"/>
      <c r="U48" s="79" t="s">
        <v>35</v>
      </c>
      <c r="V48" s="11"/>
      <c r="X48" s="2"/>
      <c r="Y48" s="2"/>
      <c r="Z48" s="222"/>
      <c r="AB48" s="127">
        <f>IF(I48="no",1,0)</f>
        <v>1</v>
      </c>
      <c r="AC48" s="129"/>
      <c r="AG48" s="150" t="s">
        <v>181</v>
      </c>
      <c r="AH48" s="156" t="s">
        <v>182</v>
      </c>
    </row>
    <row r="49" spans="2:34" ht="3" customHeight="1" x14ac:dyDescent="0.3">
      <c r="B49" s="21"/>
      <c r="C49" s="69"/>
      <c r="D49" s="69"/>
      <c r="G49" s="10"/>
      <c r="H49" s="10"/>
      <c r="I49" s="7"/>
      <c r="J49" s="48"/>
      <c r="K49" s="108"/>
      <c r="L49" s="108"/>
      <c r="M49" s="108"/>
      <c r="N49" s="108"/>
      <c r="O49" s="37"/>
      <c r="P49" s="54"/>
      <c r="Q49" s="10"/>
      <c r="R49" s="10"/>
      <c r="S49" s="10"/>
      <c r="T49" s="10"/>
      <c r="U49" s="10"/>
      <c r="V49" s="11"/>
      <c r="X49" s="2"/>
      <c r="Y49" s="2"/>
      <c r="Z49" s="222"/>
      <c r="AB49" s="125"/>
      <c r="AC49" s="125"/>
      <c r="AG49" s="150"/>
      <c r="AH49" s="151"/>
    </row>
    <row r="50" spans="2:34" ht="16.25" customHeight="1" thickBot="1" x14ac:dyDescent="0.35">
      <c r="B50" s="21"/>
      <c r="C50" s="68" t="s">
        <v>5</v>
      </c>
      <c r="D50" s="68"/>
      <c r="E50" s="5"/>
      <c r="F50" s="5"/>
      <c r="G50" s="6"/>
      <c r="H50" s="6"/>
      <c r="I50" s="79" t="s">
        <v>35</v>
      </c>
      <c r="J50" s="47"/>
      <c r="K50" s="177" t="s">
        <v>17</v>
      </c>
      <c r="L50" s="177"/>
      <c r="M50" s="177"/>
      <c r="N50" s="177"/>
      <c r="O50" s="63" t="str">
        <f>IF($I$42="si","si",IF($I$44="si","si",IF($I$50="si","si",IF($I$56="si","si",IF($I$60="si","si","no")))))</f>
        <v>no</v>
      </c>
      <c r="P50" s="53"/>
      <c r="Q50" s="177" t="s">
        <v>54</v>
      </c>
      <c r="R50" s="177"/>
      <c r="S50" s="177"/>
      <c r="T50" s="177"/>
      <c r="U50" s="79" t="s">
        <v>35</v>
      </c>
      <c r="V50" s="11"/>
      <c r="X50" s="2"/>
      <c r="Y50" s="2"/>
      <c r="Z50" s="222"/>
      <c r="AB50" s="127">
        <f>IF(I50="no",1,0)</f>
        <v>1</v>
      </c>
      <c r="AC50" s="129"/>
      <c r="AG50" s="154"/>
      <c r="AH50" s="155"/>
    </row>
    <row r="51" spans="2:34" ht="3" customHeight="1" thickTop="1" x14ac:dyDescent="0.3">
      <c r="B51" s="21"/>
      <c r="C51" s="69"/>
      <c r="D51" s="69"/>
      <c r="G51" s="10"/>
      <c r="H51" s="10"/>
      <c r="I51" s="7"/>
      <c r="J51" s="48"/>
      <c r="K51" s="108"/>
      <c r="L51" s="108"/>
      <c r="M51" s="108"/>
      <c r="N51" s="108"/>
      <c r="O51" s="37"/>
      <c r="P51" s="54"/>
      <c r="Q51" s="10"/>
      <c r="R51" s="10"/>
      <c r="S51" s="10"/>
      <c r="T51" s="10"/>
      <c r="U51" s="10"/>
      <c r="V51" s="11"/>
      <c r="X51" s="2"/>
      <c r="Y51" s="2"/>
      <c r="Z51" s="222"/>
      <c r="AB51" s="125"/>
      <c r="AC51" s="125"/>
      <c r="AG51" s="130"/>
      <c r="AH51" s="139"/>
    </row>
    <row r="52" spans="2:34" ht="16.25" customHeight="1" x14ac:dyDescent="0.3">
      <c r="B52" s="21"/>
      <c r="C52" s="68" t="s">
        <v>6</v>
      </c>
      <c r="D52" s="68"/>
      <c r="E52" s="5"/>
      <c r="F52" s="5"/>
      <c r="G52" s="6"/>
      <c r="H52" s="6"/>
      <c r="I52" s="79" t="s">
        <v>35</v>
      </c>
      <c r="J52" s="47"/>
      <c r="K52" s="177" t="s">
        <v>18</v>
      </c>
      <c r="L52" s="177"/>
      <c r="M52" s="177"/>
      <c r="N52" s="177"/>
      <c r="O52" s="63" t="str">
        <f>IF($I$42="si","si",IF($I$44="si","si",IF($I$46="si","si",IF($I$50="si","si",IF($I$56="si","si",IF($I$58="si","si",IF($I$60="si","si","no")))))))</f>
        <v>no</v>
      </c>
      <c r="P52" s="53"/>
      <c r="Q52" s="177" t="s">
        <v>55</v>
      </c>
      <c r="R52" s="177"/>
      <c r="S52" s="177"/>
      <c r="T52" s="177"/>
      <c r="U52" s="79" t="s">
        <v>35</v>
      </c>
      <c r="V52" s="11"/>
      <c r="X52" s="2"/>
      <c r="Y52" s="2"/>
      <c r="Z52" s="222"/>
      <c r="AB52" s="127">
        <f>IF(I52="no",1,0)</f>
        <v>1</v>
      </c>
      <c r="AC52" s="129"/>
      <c r="AG52" s="130"/>
      <c r="AH52" s="139"/>
    </row>
    <row r="53" spans="2:34" ht="3" customHeight="1" x14ac:dyDescent="0.3">
      <c r="B53" s="21"/>
      <c r="C53" s="69"/>
      <c r="D53" s="69"/>
      <c r="G53" s="10"/>
      <c r="H53" s="10"/>
      <c r="I53" s="7"/>
      <c r="J53" s="48"/>
      <c r="K53" s="108"/>
      <c r="L53" s="108"/>
      <c r="M53" s="108"/>
      <c r="N53" s="108"/>
      <c r="O53" s="37"/>
      <c r="P53" s="54"/>
      <c r="Q53" s="10"/>
      <c r="R53" s="10"/>
      <c r="S53" s="10"/>
      <c r="T53" s="10"/>
      <c r="U53" s="10"/>
      <c r="V53" s="11"/>
      <c r="X53" s="2"/>
      <c r="Y53" s="2"/>
      <c r="Z53" s="222"/>
      <c r="AB53" s="125"/>
      <c r="AC53" s="125"/>
      <c r="AG53" s="130"/>
      <c r="AH53" s="139"/>
    </row>
    <row r="54" spans="2:34" ht="16.25" customHeight="1" x14ac:dyDescent="0.3">
      <c r="B54" s="21"/>
      <c r="C54" s="68" t="s">
        <v>7</v>
      </c>
      <c r="D54" s="68"/>
      <c r="E54" s="5"/>
      <c r="F54" s="5"/>
      <c r="G54" s="6"/>
      <c r="H54" s="6"/>
      <c r="I54" s="79" t="s">
        <v>35</v>
      </c>
      <c r="J54" s="47"/>
      <c r="K54" s="177" t="s">
        <v>19</v>
      </c>
      <c r="L54" s="177"/>
      <c r="M54" s="177"/>
      <c r="N54" s="177"/>
      <c r="O54" s="63" t="str">
        <f>IF($I$48="si","si",IF($I$50="si","si",IF($I$56="si","si",IF($I$58="si","si","no"))))</f>
        <v>no</v>
      </c>
      <c r="P54" s="53"/>
      <c r="Q54" s="177" t="s">
        <v>56</v>
      </c>
      <c r="R54" s="177"/>
      <c r="S54" s="177"/>
      <c r="T54" s="177"/>
      <c r="U54" s="79" t="s">
        <v>35</v>
      </c>
      <c r="V54" s="11"/>
      <c r="X54" s="2"/>
      <c r="Y54" s="2"/>
      <c r="Z54" s="222"/>
      <c r="AB54" s="127">
        <f>IF(I54="no",1,0)</f>
        <v>1</v>
      </c>
      <c r="AC54" s="129"/>
      <c r="AG54" s="130"/>
      <c r="AH54" s="139"/>
    </row>
    <row r="55" spans="2:34" ht="3" customHeight="1" x14ac:dyDescent="0.3">
      <c r="B55" s="21"/>
      <c r="C55" s="69"/>
      <c r="D55" s="69"/>
      <c r="G55" s="10"/>
      <c r="H55" s="10"/>
      <c r="I55" s="7"/>
      <c r="J55" s="48"/>
      <c r="K55" s="108"/>
      <c r="L55" s="108"/>
      <c r="M55" s="108"/>
      <c r="N55" s="108"/>
      <c r="O55" s="37"/>
      <c r="P55" s="54"/>
      <c r="Q55" s="10"/>
      <c r="R55" s="10"/>
      <c r="S55" s="10"/>
      <c r="T55" s="10"/>
      <c r="U55" s="10"/>
      <c r="V55" s="11"/>
      <c r="X55" s="2"/>
      <c r="Y55" s="2"/>
      <c r="Z55" s="222"/>
      <c r="AB55" s="125"/>
      <c r="AC55" s="125"/>
      <c r="AG55" s="130"/>
      <c r="AH55" s="139"/>
    </row>
    <row r="56" spans="2:34" ht="16.25" customHeight="1" x14ac:dyDescent="0.3">
      <c r="B56" s="21"/>
      <c r="C56" s="68" t="s">
        <v>8</v>
      </c>
      <c r="D56" s="68"/>
      <c r="E56" s="5"/>
      <c r="F56" s="5"/>
      <c r="G56" s="6"/>
      <c r="H56" s="6"/>
      <c r="I56" s="79" t="s">
        <v>35</v>
      </c>
      <c r="J56" s="47"/>
      <c r="K56" s="177" t="s">
        <v>20</v>
      </c>
      <c r="L56" s="177"/>
      <c r="M56" s="177"/>
      <c r="N56" s="177"/>
      <c r="O56" s="63" t="str">
        <f>IF($I$42="si","si",IF($I$44="si","si",IF($I$50="si","si",IF($I$54="si","si",IF($I$56="si","si",IF($I$50="si","si",IF($I$58="si","si",IF($I$60="si","si","no"))))))))</f>
        <v>no</v>
      </c>
      <c r="P56" s="53"/>
      <c r="Q56" s="177" t="s">
        <v>57</v>
      </c>
      <c r="R56" s="177"/>
      <c r="S56" s="177"/>
      <c r="T56" s="177"/>
      <c r="U56" s="79" t="s">
        <v>35</v>
      </c>
      <c r="V56" s="11"/>
      <c r="X56" s="2"/>
      <c r="Y56" s="2"/>
      <c r="Z56" s="222"/>
      <c r="AB56" s="127">
        <f>IF(I56="no",1,0)</f>
        <v>1</v>
      </c>
      <c r="AC56" s="129"/>
      <c r="AG56" s="130"/>
      <c r="AH56" s="139"/>
    </row>
    <row r="57" spans="2:34" ht="3" customHeight="1" x14ac:dyDescent="0.3">
      <c r="B57" s="21"/>
      <c r="C57" s="69"/>
      <c r="D57" s="69"/>
      <c r="G57" s="10"/>
      <c r="H57" s="10"/>
      <c r="I57" s="7"/>
      <c r="J57" s="48"/>
      <c r="K57" s="108"/>
      <c r="L57" s="108"/>
      <c r="M57" s="108"/>
      <c r="N57" s="108"/>
      <c r="O57" s="37"/>
      <c r="P57" s="54"/>
      <c r="Q57" s="10"/>
      <c r="R57" s="10"/>
      <c r="S57" s="10"/>
      <c r="T57" s="10"/>
      <c r="U57" s="10"/>
      <c r="V57" s="11"/>
      <c r="X57" s="2"/>
      <c r="Y57" s="2"/>
      <c r="Z57" s="222"/>
      <c r="AB57" s="125"/>
      <c r="AC57" s="125"/>
      <c r="AH57" s="139"/>
    </row>
    <row r="58" spans="2:34" ht="16.25" customHeight="1" x14ac:dyDescent="0.3">
      <c r="B58" s="21"/>
      <c r="C58" s="68" t="s">
        <v>9</v>
      </c>
      <c r="D58" s="68"/>
      <c r="E58" s="5"/>
      <c r="F58" s="5"/>
      <c r="G58" s="6"/>
      <c r="H58" s="6"/>
      <c r="I58" s="79" t="s">
        <v>35</v>
      </c>
      <c r="J58" s="47"/>
      <c r="K58" s="177" t="s">
        <v>21</v>
      </c>
      <c r="L58" s="177"/>
      <c r="M58" s="177"/>
      <c r="N58" s="177"/>
      <c r="O58" s="63" t="str">
        <f>IF($I$50="si","si",IF($I$56="si","si",IF($I$58="si","si","no")))</f>
        <v>no</v>
      </c>
      <c r="P58" s="53"/>
      <c r="Q58" s="177" t="s">
        <v>58</v>
      </c>
      <c r="R58" s="177"/>
      <c r="S58" s="177"/>
      <c r="T58" s="177"/>
      <c r="U58" s="79" t="s">
        <v>35</v>
      </c>
      <c r="V58" s="11"/>
      <c r="X58" s="2"/>
      <c r="Y58" s="2"/>
      <c r="Z58" s="222"/>
      <c r="AB58" s="127">
        <f>IF(I58="no",1,0)</f>
        <v>1</v>
      </c>
      <c r="AC58" s="129"/>
      <c r="AH58" s="139"/>
    </row>
    <row r="59" spans="2:34" ht="3" customHeight="1" thickBot="1" x14ac:dyDescent="0.35">
      <c r="B59" s="21"/>
      <c r="C59" s="69"/>
      <c r="D59" s="69"/>
      <c r="G59" s="10"/>
      <c r="H59" s="10"/>
      <c r="I59" s="7"/>
      <c r="J59" s="48"/>
      <c r="K59" s="108"/>
      <c r="L59" s="108"/>
      <c r="M59" s="108"/>
      <c r="N59" s="108"/>
      <c r="O59" s="37"/>
      <c r="P59" s="54"/>
      <c r="Q59" s="10"/>
      <c r="R59" s="10"/>
      <c r="S59" s="10"/>
      <c r="T59" s="10"/>
      <c r="U59" s="10"/>
      <c r="V59" s="11"/>
      <c r="X59" s="2"/>
      <c r="Y59" s="2"/>
      <c r="Z59" s="146"/>
      <c r="AB59" s="125"/>
      <c r="AC59" s="125"/>
    </row>
    <row r="60" spans="2:34" ht="16.25" customHeight="1" thickTop="1" x14ac:dyDescent="0.3">
      <c r="B60" s="21"/>
      <c r="C60" s="68" t="s">
        <v>10</v>
      </c>
      <c r="D60" s="68"/>
      <c r="E60" s="5"/>
      <c r="F60" s="5"/>
      <c r="G60" s="6"/>
      <c r="H60" s="6"/>
      <c r="I60" s="79" t="s">
        <v>35</v>
      </c>
      <c r="J60" s="47"/>
      <c r="K60" s="177" t="s">
        <v>22</v>
      </c>
      <c r="L60" s="177"/>
      <c r="M60" s="177"/>
      <c r="N60" s="177"/>
      <c r="O60" s="63" t="str">
        <f>IF($I$42="si","si",IF($I$44="si","si",IF($I$56="si","si","no")))</f>
        <v>no</v>
      </c>
      <c r="P60" s="53"/>
      <c r="Q60" s="177" t="s">
        <v>59</v>
      </c>
      <c r="R60" s="177"/>
      <c r="S60" s="177"/>
      <c r="T60" s="177"/>
      <c r="U60" s="79" t="s">
        <v>35</v>
      </c>
      <c r="V60" s="11"/>
      <c r="X60" s="2"/>
      <c r="Y60" s="2"/>
      <c r="AB60" s="127">
        <f>IF(I60="no",1,0)</f>
        <v>1</v>
      </c>
      <c r="AC60" s="129"/>
    </row>
    <row r="61" spans="2:34" ht="3" customHeight="1" x14ac:dyDescent="0.3">
      <c r="B61" s="21"/>
      <c r="C61" s="34"/>
      <c r="D61" s="34"/>
      <c r="G61" s="10"/>
      <c r="H61" s="10"/>
      <c r="J61" s="49"/>
      <c r="K61" s="108"/>
      <c r="L61" s="108"/>
      <c r="M61" s="108"/>
      <c r="N61" s="108"/>
      <c r="O61" s="37"/>
      <c r="P61" s="54"/>
      <c r="Q61" s="39"/>
      <c r="R61" s="39"/>
      <c r="V61" s="11"/>
      <c r="X61" s="2"/>
      <c r="Y61" s="2"/>
      <c r="AB61" s="125"/>
      <c r="AC61" s="125"/>
      <c r="AD61" s="125"/>
    </row>
    <row r="62" spans="2:34" ht="16.25" customHeight="1" x14ac:dyDescent="0.3">
      <c r="B62" s="21"/>
      <c r="J62" s="49"/>
      <c r="K62" s="177" t="s">
        <v>23</v>
      </c>
      <c r="L62" s="177"/>
      <c r="M62" s="177"/>
      <c r="N62" s="177"/>
      <c r="O62" s="63" t="str">
        <f>IF($I$44="si","si","no")</f>
        <v>no</v>
      </c>
      <c r="P62" s="52"/>
      <c r="Q62" s="177" t="s">
        <v>60</v>
      </c>
      <c r="R62" s="177"/>
      <c r="S62" s="177"/>
      <c r="T62" s="177"/>
      <c r="U62" s="79" t="s">
        <v>35</v>
      </c>
      <c r="V62" s="4"/>
      <c r="W62" s="3"/>
      <c r="AB62" s="128">
        <f>SUM(AB40:AB60)/11</f>
        <v>1</v>
      </c>
      <c r="AC62" s="129"/>
      <c r="AD62" s="129"/>
    </row>
    <row r="63" spans="2:34" ht="15" customHeight="1" x14ac:dyDescent="0.3">
      <c r="B63" s="21"/>
      <c r="C63" s="159" t="s">
        <v>149</v>
      </c>
      <c r="D63" s="12"/>
      <c r="E63" s="12"/>
      <c r="F63" s="12"/>
      <c r="G63" s="10"/>
      <c r="H63" s="10"/>
      <c r="M63" s="12"/>
      <c r="N63" s="12"/>
      <c r="O63" s="160"/>
      <c r="P63" s="160"/>
      <c r="Q63" s="160"/>
      <c r="R63" s="160"/>
      <c r="S63" s="12"/>
      <c r="T63" s="12"/>
      <c r="U63" s="12"/>
      <c r="V63" s="11"/>
      <c r="AC63" s="129"/>
    </row>
    <row r="64" spans="2:34" ht="7.25" customHeight="1" x14ac:dyDescent="0.3">
      <c r="B64" s="21"/>
      <c r="C64" s="162"/>
      <c r="D64" s="162"/>
      <c r="E64" s="12"/>
      <c r="F64" s="12"/>
      <c r="G64" s="10"/>
      <c r="H64" s="10"/>
      <c r="I64" s="10"/>
      <c r="J64" s="10"/>
      <c r="M64" s="12"/>
      <c r="N64" s="12"/>
      <c r="O64" s="12"/>
      <c r="P64" s="12"/>
      <c r="Q64" s="12"/>
      <c r="R64" s="12"/>
      <c r="S64" s="10"/>
      <c r="T64" s="10"/>
      <c r="U64" s="12"/>
      <c r="V64" s="11"/>
      <c r="AC64" s="125"/>
      <c r="AD64" s="125"/>
    </row>
    <row r="65" spans="2:31" ht="15" customHeight="1" x14ac:dyDescent="0.3">
      <c r="B65" s="21"/>
      <c r="C65" s="159" t="s">
        <v>229</v>
      </c>
      <c r="D65" s="12"/>
      <c r="E65" s="12"/>
      <c r="F65" s="12"/>
      <c r="G65" s="10"/>
      <c r="H65" s="10"/>
      <c r="M65" s="159" t="s">
        <v>130</v>
      </c>
      <c r="N65" s="12"/>
      <c r="O65" s="160"/>
      <c r="P65" s="160"/>
      <c r="Q65" s="160"/>
      <c r="R65" s="160"/>
      <c r="S65" s="12"/>
      <c r="T65" s="12"/>
      <c r="U65" s="12"/>
      <c r="V65" s="11"/>
      <c r="AC65" s="129"/>
    </row>
    <row r="66" spans="2:31" ht="7.25" customHeight="1" x14ac:dyDescent="0.3">
      <c r="B66" s="21"/>
      <c r="C66" s="162"/>
      <c r="D66" s="162"/>
      <c r="E66" s="12"/>
      <c r="F66" s="12"/>
      <c r="G66" s="10"/>
      <c r="H66" s="10"/>
      <c r="I66" s="10"/>
      <c r="J66" s="10"/>
      <c r="M66" s="12"/>
      <c r="N66" s="12"/>
      <c r="O66" s="12"/>
      <c r="P66" s="12"/>
      <c r="Q66" s="12"/>
      <c r="R66" s="12"/>
      <c r="S66" s="10"/>
      <c r="T66" s="10"/>
      <c r="U66" s="12"/>
      <c r="V66" s="11"/>
      <c r="AB66" s="125"/>
      <c r="AC66" s="125"/>
      <c r="AD66" s="125"/>
    </row>
    <row r="67" spans="2:31" ht="15" customHeight="1" x14ac:dyDescent="0.35">
      <c r="B67" s="21"/>
      <c r="C67" s="171" t="s">
        <v>133</v>
      </c>
      <c r="D67" s="171"/>
      <c r="E67" s="172"/>
      <c r="F67" s="172"/>
      <c r="G67" s="172"/>
      <c r="H67" s="172"/>
      <c r="I67" s="172"/>
      <c r="J67" s="163"/>
      <c r="K67" s="79" t="s">
        <v>35</v>
      </c>
      <c r="M67" s="171" t="s">
        <v>195</v>
      </c>
      <c r="N67" s="171"/>
      <c r="O67" s="172"/>
      <c r="P67" s="172"/>
      <c r="Q67" s="172"/>
      <c r="R67" s="172"/>
      <c r="S67" s="172"/>
      <c r="T67" s="67"/>
      <c r="U67" s="79" t="s">
        <v>35</v>
      </c>
      <c r="V67" s="11"/>
      <c r="AB67" s="125"/>
      <c r="AC67" s="125"/>
      <c r="AD67" s="125"/>
      <c r="AE67" s="125"/>
    </row>
    <row r="68" spans="2:31" ht="2.15" customHeight="1" x14ac:dyDescent="0.3">
      <c r="B68" s="21"/>
      <c r="C68" s="164"/>
      <c r="D68" s="164"/>
      <c r="E68" s="162"/>
      <c r="F68" s="162"/>
      <c r="G68" s="165"/>
      <c r="H68" s="165"/>
      <c r="I68" s="165"/>
      <c r="J68" s="165"/>
      <c r="K68" s="40"/>
      <c r="M68" s="166"/>
      <c r="N68" s="166"/>
      <c r="O68" s="167"/>
      <c r="P68" s="168"/>
      <c r="Q68" s="168"/>
      <c r="R68" s="168"/>
      <c r="S68" s="168"/>
      <c r="T68" s="66"/>
      <c r="U68" s="40"/>
      <c r="V68" s="11"/>
      <c r="AB68" s="125"/>
      <c r="AC68" s="125"/>
      <c r="AD68" s="125"/>
      <c r="AE68" s="125"/>
    </row>
    <row r="69" spans="2:31" ht="15" customHeight="1" x14ac:dyDescent="0.35">
      <c r="B69" s="21"/>
      <c r="C69" s="171" t="s">
        <v>216</v>
      </c>
      <c r="D69" s="171"/>
      <c r="E69" s="172"/>
      <c r="F69" s="172"/>
      <c r="G69" s="172"/>
      <c r="H69" s="172"/>
      <c r="I69" s="172"/>
      <c r="J69" s="163"/>
      <c r="K69" s="79" t="s">
        <v>35</v>
      </c>
      <c r="M69" s="171" t="s">
        <v>194</v>
      </c>
      <c r="N69" s="171"/>
      <c r="O69" s="172"/>
      <c r="P69" s="172"/>
      <c r="Q69" s="172"/>
      <c r="R69" s="172"/>
      <c r="S69" s="172"/>
      <c r="T69" s="67"/>
      <c r="U69" s="79" t="s">
        <v>35</v>
      </c>
      <c r="V69" s="11"/>
      <c r="AB69" s="125"/>
      <c r="AC69" s="125"/>
      <c r="AD69" s="125"/>
      <c r="AE69" s="125"/>
    </row>
    <row r="70" spans="2:31" ht="2.15" customHeight="1" x14ac:dyDescent="0.3">
      <c r="B70" s="21"/>
      <c r="C70" s="164"/>
      <c r="D70" s="164"/>
      <c r="E70" s="162"/>
      <c r="F70" s="162"/>
      <c r="G70" s="165"/>
      <c r="H70" s="165"/>
      <c r="I70" s="165"/>
      <c r="J70" s="165"/>
      <c r="K70" s="40"/>
      <c r="M70" s="166"/>
      <c r="N70" s="166"/>
      <c r="O70" s="167"/>
      <c r="P70" s="168"/>
      <c r="Q70" s="168"/>
      <c r="R70" s="168"/>
      <c r="S70" s="168"/>
      <c r="T70" s="66"/>
      <c r="U70" s="40"/>
      <c r="V70" s="11"/>
      <c r="AB70" s="125"/>
      <c r="AC70" s="125"/>
      <c r="AD70" s="125"/>
      <c r="AE70" s="125"/>
    </row>
    <row r="71" spans="2:31" ht="15" customHeight="1" x14ac:dyDescent="0.35">
      <c r="B71" s="21"/>
      <c r="C71" s="171" t="s">
        <v>125</v>
      </c>
      <c r="D71" s="171"/>
      <c r="E71" s="172"/>
      <c r="F71" s="172"/>
      <c r="G71" s="172"/>
      <c r="H71" s="172"/>
      <c r="I71" s="172"/>
      <c r="J71" s="163"/>
      <c r="K71" s="79" t="s">
        <v>35</v>
      </c>
      <c r="M71" s="171" t="s">
        <v>193</v>
      </c>
      <c r="N71" s="171"/>
      <c r="O71" s="172"/>
      <c r="P71" s="172"/>
      <c r="Q71" s="172"/>
      <c r="R71" s="172"/>
      <c r="S71" s="172"/>
      <c r="T71" s="67"/>
      <c r="U71" s="79" t="s">
        <v>35</v>
      </c>
      <c r="V71" s="11"/>
      <c r="AB71" s="125"/>
      <c r="AC71" s="125"/>
      <c r="AD71" s="125"/>
      <c r="AE71" s="125"/>
    </row>
    <row r="72" spans="2:31" ht="2.15" customHeight="1" x14ac:dyDescent="0.3">
      <c r="B72" s="21"/>
      <c r="C72" s="164"/>
      <c r="D72" s="164"/>
      <c r="E72" s="162"/>
      <c r="F72" s="162"/>
      <c r="G72" s="165"/>
      <c r="H72" s="165"/>
      <c r="I72" s="165"/>
      <c r="J72" s="165"/>
      <c r="K72" s="40"/>
      <c r="M72" s="166"/>
      <c r="N72" s="166"/>
      <c r="O72" s="167"/>
      <c r="P72" s="168"/>
      <c r="Q72" s="168"/>
      <c r="R72" s="168"/>
      <c r="S72" s="168"/>
      <c r="T72" s="66"/>
      <c r="U72" s="40"/>
      <c r="V72" s="11"/>
      <c r="AB72" s="125"/>
      <c r="AC72" s="125"/>
      <c r="AD72" s="125"/>
      <c r="AE72" s="125"/>
    </row>
    <row r="73" spans="2:31" ht="15" customHeight="1" x14ac:dyDescent="0.35">
      <c r="B73" s="21"/>
      <c r="C73" s="171" t="s">
        <v>217</v>
      </c>
      <c r="D73" s="171"/>
      <c r="E73" s="172"/>
      <c r="F73" s="172"/>
      <c r="G73" s="172"/>
      <c r="H73" s="172"/>
      <c r="I73" s="172"/>
      <c r="J73" s="163"/>
      <c r="K73" s="79" t="s">
        <v>35</v>
      </c>
      <c r="M73" s="171" t="s">
        <v>196</v>
      </c>
      <c r="N73" s="171"/>
      <c r="O73" s="172"/>
      <c r="P73" s="172"/>
      <c r="Q73" s="172"/>
      <c r="R73" s="172"/>
      <c r="S73" s="172"/>
      <c r="T73" s="67"/>
      <c r="U73" s="79" t="s">
        <v>35</v>
      </c>
      <c r="V73" s="11"/>
      <c r="AB73" s="125"/>
      <c r="AC73" s="125"/>
      <c r="AD73" s="125"/>
      <c r="AE73" s="125"/>
    </row>
    <row r="74" spans="2:31" ht="2.15" customHeight="1" x14ac:dyDescent="0.3">
      <c r="B74" s="21"/>
      <c r="C74" s="164"/>
      <c r="D74" s="164"/>
      <c r="E74" s="162"/>
      <c r="F74" s="162"/>
      <c r="G74" s="165"/>
      <c r="H74" s="165"/>
      <c r="I74" s="165"/>
      <c r="J74" s="165"/>
      <c r="K74" s="40"/>
      <c r="M74" s="166"/>
      <c r="N74" s="166"/>
      <c r="O74" s="167"/>
      <c r="P74" s="168"/>
      <c r="Q74" s="168"/>
      <c r="R74" s="168"/>
      <c r="S74" s="168"/>
      <c r="T74" s="66"/>
      <c r="U74" s="40"/>
      <c r="V74" s="11"/>
      <c r="AB74" s="125"/>
      <c r="AC74" s="125"/>
      <c r="AD74" s="125"/>
      <c r="AE74" s="125"/>
    </row>
    <row r="75" spans="2:31" ht="15" customHeight="1" x14ac:dyDescent="0.35">
      <c r="B75" s="21"/>
      <c r="C75" s="171" t="s">
        <v>218</v>
      </c>
      <c r="D75" s="171"/>
      <c r="E75" s="172"/>
      <c r="F75" s="172"/>
      <c r="G75" s="172"/>
      <c r="H75" s="172"/>
      <c r="I75" s="172"/>
      <c r="J75" s="163"/>
      <c r="K75" s="79" t="s">
        <v>35</v>
      </c>
      <c r="M75" s="171" t="s">
        <v>208</v>
      </c>
      <c r="N75" s="171"/>
      <c r="O75" s="171"/>
      <c r="P75" s="171"/>
      <c r="Q75" s="171"/>
      <c r="R75" s="171"/>
      <c r="S75" s="171"/>
      <c r="T75" s="67"/>
      <c r="U75" s="79" t="s">
        <v>35</v>
      </c>
      <c r="V75" s="11"/>
      <c r="AB75" s="125"/>
      <c r="AC75" s="125"/>
      <c r="AD75" s="125"/>
      <c r="AE75" s="125"/>
    </row>
    <row r="76" spans="2:31" ht="2.15" customHeight="1" x14ac:dyDescent="0.3">
      <c r="B76" s="21"/>
      <c r="C76" s="164"/>
      <c r="D76" s="164"/>
      <c r="E76" s="162"/>
      <c r="F76" s="162"/>
      <c r="G76" s="165"/>
      <c r="H76" s="165"/>
      <c r="I76" s="165"/>
      <c r="J76" s="165"/>
      <c r="K76" s="40"/>
      <c r="M76" s="166"/>
      <c r="N76" s="166"/>
      <c r="O76" s="167"/>
      <c r="P76" s="168"/>
      <c r="Q76" s="168"/>
      <c r="R76" s="168"/>
      <c r="S76" s="168"/>
      <c r="T76" s="66"/>
      <c r="U76" s="40"/>
      <c r="V76" s="11"/>
      <c r="AB76" s="125"/>
      <c r="AC76" s="125"/>
      <c r="AD76" s="125"/>
      <c r="AE76" s="125"/>
    </row>
    <row r="77" spans="2:31" ht="15" customHeight="1" x14ac:dyDescent="0.35">
      <c r="B77" s="21"/>
      <c r="C77" s="171" t="s">
        <v>219</v>
      </c>
      <c r="D77" s="171"/>
      <c r="E77" s="172"/>
      <c r="F77" s="172"/>
      <c r="G77" s="172"/>
      <c r="H77" s="172"/>
      <c r="I77" s="172"/>
      <c r="J77" s="163"/>
      <c r="K77" s="79" t="s">
        <v>35</v>
      </c>
      <c r="M77" s="171" t="s">
        <v>209</v>
      </c>
      <c r="N77" s="171"/>
      <c r="O77" s="171"/>
      <c r="P77" s="171"/>
      <c r="Q77" s="171"/>
      <c r="R77" s="171"/>
      <c r="S77" s="171"/>
      <c r="T77" s="67"/>
      <c r="U77" s="79" t="s">
        <v>35</v>
      </c>
      <c r="V77" s="11"/>
      <c r="AB77" s="125"/>
      <c r="AC77" s="125"/>
      <c r="AD77" s="125"/>
      <c r="AE77" s="125"/>
    </row>
    <row r="78" spans="2:31" ht="2.15" customHeight="1" x14ac:dyDescent="0.3">
      <c r="B78" s="21"/>
      <c r="C78" s="164"/>
      <c r="D78" s="164"/>
      <c r="E78" s="162"/>
      <c r="F78" s="162"/>
      <c r="G78" s="165"/>
      <c r="H78" s="165"/>
      <c r="I78" s="165"/>
      <c r="J78" s="165"/>
      <c r="K78" s="40"/>
      <c r="M78" s="166"/>
      <c r="N78" s="166"/>
      <c r="O78" s="167"/>
      <c r="P78" s="168"/>
      <c r="Q78" s="168"/>
      <c r="R78" s="168"/>
      <c r="S78" s="168"/>
      <c r="T78" s="66"/>
      <c r="U78" s="40"/>
      <c r="V78" s="11"/>
      <c r="AB78" s="125"/>
      <c r="AC78" s="125"/>
      <c r="AD78" s="125"/>
      <c r="AE78" s="125"/>
    </row>
    <row r="79" spans="2:31" ht="15" customHeight="1" x14ac:dyDescent="0.35">
      <c r="B79" s="21"/>
      <c r="C79" s="171" t="s">
        <v>220</v>
      </c>
      <c r="D79" s="171"/>
      <c r="E79" s="172"/>
      <c r="F79" s="172"/>
      <c r="G79" s="172"/>
      <c r="H79" s="172"/>
      <c r="I79" s="172"/>
      <c r="J79" s="163"/>
      <c r="K79" s="79" t="s">
        <v>35</v>
      </c>
      <c r="M79" s="171" t="s">
        <v>210</v>
      </c>
      <c r="N79" s="171"/>
      <c r="O79" s="171"/>
      <c r="P79" s="171"/>
      <c r="Q79" s="171"/>
      <c r="R79" s="171"/>
      <c r="S79" s="171"/>
      <c r="T79" s="67"/>
      <c r="U79" s="79" t="s">
        <v>35</v>
      </c>
      <c r="V79" s="11"/>
      <c r="AB79" s="125"/>
      <c r="AC79" s="125"/>
      <c r="AD79" s="125"/>
      <c r="AE79" s="125"/>
    </row>
    <row r="80" spans="2:31" ht="2.15" customHeight="1" x14ac:dyDescent="0.3">
      <c r="B80" s="21"/>
      <c r="C80" s="164"/>
      <c r="D80" s="164"/>
      <c r="E80" s="162"/>
      <c r="F80" s="162"/>
      <c r="G80" s="165"/>
      <c r="H80" s="165"/>
      <c r="I80" s="165"/>
      <c r="J80" s="165"/>
      <c r="K80" s="40"/>
      <c r="M80" s="166"/>
      <c r="N80" s="166"/>
      <c r="O80" s="167"/>
      <c r="P80" s="168"/>
      <c r="Q80" s="168"/>
      <c r="R80" s="168"/>
      <c r="S80" s="168"/>
      <c r="T80" s="66"/>
      <c r="U80" s="40"/>
      <c r="V80" s="11"/>
      <c r="AB80" s="125"/>
      <c r="AC80" s="125"/>
      <c r="AD80" s="125"/>
      <c r="AE80" s="125"/>
    </row>
    <row r="81" spans="2:31" ht="15" customHeight="1" x14ac:dyDescent="0.35">
      <c r="B81" s="21"/>
      <c r="C81" s="171" t="s">
        <v>184</v>
      </c>
      <c r="D81" s="171"/>
      <c r="E81" s="172"/>
      <c r="F81" s="172"/>
      <c r="G81" s="172"/>
      <c r="H81" s="172"/>
      <c r="I81" s="172"/>
      <c r="J81" s="163"/>
      <c r="K81" s="79" t="s">
        <v>35</v>
      </c>
      <c r="M81" s="171" t="s">
        <v>207</v>
      </c>
      <c r="N81" s="171"/>
      <c r="O81" s="172"/>
      <c r="P81" s="172"/>
      <c r="Q81" s="172"/>
      <c r="R81" s="172"/>
      <c r="S81" s="172"/>
      <c r="T81" s="67"/>
      <c r="U81" s="79" t="s">
        <v>35</v>
      </c>
      <c r="V81" s="11"/>
      <c r="AB81" s="125"/>
      <c r="AC81" s="125"/>
      <c r="AD81" s="125"/>
      <c r="AE81" s="125"/>
    </row>
    <row r="82" spans="2:31" ht="2.15" customHeight="1" x14ac:dyDescent="0.3">
      <c r="B82" s="21"/>
      <c r="C82" s="164"/>
      <c r="D82" s="164"/>
      <c r="E82" s="162"/>
      <c r="F82" s="162"/>
      <c r="G82" s="165"/>
      <c r="H82" s="165"/>
      <c r="I82" s="165"/>
      <c r="J82" s="165"/>
      <c r="K82" s="40"/>
      <c r="M82" s="166"/>
      <c r="N82" s="166"/>
      <c r="O82" s="167"/>
      <c r="P82" s="168"/>
      <c r="Q82" s="168"/>
      <c r="R82" s="168"/>
      <c r="S82" s="168"/>
      <c r="T82" s="66"/>
      <c r="U82" s="40"/>
      <c r="V82" s="11"/>
      <c r="AB82" s="125"/>
      <c r="AC82" s="125"/>
      <c r="AD82" s="125"/>
      <c r="AE82" s="125"/>
    </row>
    <row r="83" spans="2:31" ht="15" customHeight="1" x14ac:dyDescent="0.35">
      <c r="B83" s="21"/>
      <c r="C83" s="171" t="s">
        <v>132</v>
      </c>
      <c r="D83" s="171"/>
      <c r="E83" s="172"/>
      <c r="F83" s="172"/>
      <c r="G83" s="172"/>
      <c r="H83" s="172"/>
      <c r="I83" s="172"/>
      <c r="J83" s="163"/>
      <c r="K83" s="79" t="s">
        <v>35</v>
      </c>
      <c r="M83" s="171"/>
      <c r="N83" s="171"/>
      <c r="O83" s="172"/>
      <c r="P83" s="172"/>
      <c r="Q83" s="172"/>
      <c r="R83" s="172"/>
      <c r="S83" s="172"/>
      <c r="T83" s="67"/>
      <c r="U83" s="79" t="s">
        <v>35</v>
      </c>
      <c r="V83" s="11"/>
      <c r="AB83" s="125"/>
      <c r="AC83" s="125"/>
      <c r="AD83" s="125"/>
      <c r="AE83" s="125"/>
    </row>
    <row r="84" spans="2:31" ht="2.15" customHeight="1" x14ac:dyDescent="0.3">
      <c r="B84" s="21"/>
      <c r="C84" s="164"/>
      <c r="D84" s="164"/>
      <c r="E84" s="162"/>
      <c r="F84" s="162"/>
      <c r="G84" s="165"/>
      <c r="H84" s="165"/>
      <c r="I84" s="165"/>
      <c r="J84" s="165"/>
      <c r="K84" s="10"/>
      <c r="M84" s="166"/>
      <c r="N84" s="166"/>
      <c r="O84" s="167"/>
      <c r="P84" s="168"/>
      <c r="Q84" s="168"/>
      <c r="R84" s="168"/>
      <c r="S84" s="168"/>
      <c r="T84" s="168"/>
      <c r="U84" s="10"/>
      <c r="V84" s="11"/>
      <c r="AB84" s="125"/>
      <c r="AC84" s="125"/>
      <c r="AD84" s="125"/>
      <c r="AE84" s="125"/>
    </row>
    <row r="85" spans="2:31" ht="15" customHeight="1" x14ac:dyDescent="0.3">
      <c r="B85" s="21"/>
      <c r="C85" s="159" t="s">
        <v>215</v>
      </c>
      <c r="D85" s="12"/>
      <c r="E85" s="12"/>
      <c r="F85" s="12"/>
      <c r="G85" s="10"/>
      <c r="H85" s="10"/>
      <c r="M85" s="159" t="s">
        <v>131</v>
      </c>
      <c r="N85" s="12"/>
      <c r="O85" s="160"/>
      <c r="P85" s="160"/>
      <c r="Q85" s="160"/>
      <c r="R85" s="160"/>
      <c r="S85" s="12"/>
      <c r="T85" s="12"/>
      <c r="U85" s="161"/>
      <c r="V85" s="11"/>
      <c r="AC85" s="129"/>
    </row>
    <row r="86" spans="2:31" ht="7.25" customHeight="1" x14ac:dyDescent="0.3">
      <c r="B86" s="21"/>
      <c r="C86" s="162"/>
      <c r="D86" s="162"/>
      <c r="E86" s="12"/>
      <c r="F86" s="12"/>
      <c r="G86" s="10"/>
      <c r="H86" s="10"/>
      <c r="I86" s="10"/>
      <c r="J86" s="10"/>
      <c r="M86" s="12"/>
      <c r="N86" s="12"/>
      <c r="O86" s="12"/>
      <c r="P86" s="12"/>
      <c r="Q86" s="12"/>
      <c r="R86" s="12"/>
      <c r="S86" s="10"/>
      <c r="T86" s="10"/>
      <c r="U86" s="12"/>
      <c r="V86" s="11"/>
      <c r="AB86" s="125"/>
      <c r="AC86" s="125"/>
      <c r="AD86" s="125"/>
    </row>
    <row r="87" spans="2:31" ht="15" customHeight="1" x14ac:dyDescent="0.35">
      <c r="B87" s="21"/>
      <c r="C87" s="171" t="s">
        <v>198</v>
      </c>
      <c r="D87" s="171"/>
      <c r="E87" s="172"/>
      <c r="F87" s="172"/>
      <c r="G87" s="172"/>
      <c r="H87" s="172"/>
      <c r="I87" s="172"/>
      <c r="J87" s="163"/>
      <c r="K87" s="79" t="s">
        <v>35</v>
      </c>
      <c r="M87" s="171" t="s">
        <v>199</v>
      </c>
      <c r="N87" s="171"/>
      <c r="O87" s="172"/>
      <c r="P87" s="172"/>
      <c r="Q87" s="172"/>
      <c r="R87" s="172"/>
      <c r="S87" s="172"/>
      <c r="T87" s="67"/>
      <c r="U87" s="79" t="s">
        <v>35</v>
      </c>
      <c r="V87" s="11"/>
      <c r="AB87" s="125"/>
      <c r="AC87" s="125"/>
      <c r="AD87" s="125"/>
      <c r="AE87" s="125"/>
    </row>
    <row r="88" spans="2:31" ht="2.15" customHeight="1" x14ac:dyDescent="0.3">
      <c r="B88" s="21"/>
      <c r="C88" s="164"/>
      <c r="D88" s="164"/>
      <c r="E88" s="162"/>
      <c r="F88" s="162"/>
      <c r="G88" s="165"/>
      <c r="H88" s="165"/>
      <c r="I88" s="165"/>
      <c r="J88" s="165"/>
      <c r="K88" s="40"/>
      <c r="M88" s="166"/>
      <c r="N88" s="166"/>
      <c r="O88" s="167"/>
      <c r="P88" s="168"/>
      <c r="Q88" s="168"/>
      <c r="R88" s="168"/>
      <c r="S88" s="168"/>
      <c r="T88" s="66"/>
      <c r="U88" s="40"/>
      <c r="V88" s="11"/>
      <c r="AB88" s="125"/>
      <c r="AC88" s="125"/>
      <c r="AD88" s="125"/>
      <c r="AE88" s="125"/>
    </row>
    <row r="89" spans="2:31" ht="15" customHeight="1" x14ac:dyDescent="0.35">
      <c r="B89" s="21"/>
      <c r="C89" s="171" t="s">
        <v>189</v>
      </c>
      <c r="D89" s="171"/>
      <c r="E89" s="172"/>
      <c r="F89" s="172"/>
      <c r="G89" s="172"/>
      <c r="H89" s="172"/>
      <c r="I89" s="172"/>
      <c r="J89" s="163"/>
      <c r="K89" s="79" t="s">
        <v>35</v>
      </c>
      <c r="M89" s="171" t="s">
        <v>213</v>
      </c>
      <c r="N89" s="171"/>
      <c r="O89" s="171"/>
      <c r="P89" s="171"/>
      <c r="Q89" s="171"/>
      <c r="R89" s="171"/>
      <c r="S89" s="171"/>
      <c r="T89" s="67"/>
      <c r="U89" s="79" t="s">
        <v>35</v>
      </c>
      <c r="V89" s="11"/>
      <c r="AB89" s="125"/>
      <c r="AC89" s="125"/>
      <c r="AD89" s="125"/>
      <c r="AE89" s="125"/>
    </row>
    <row r="90" spans="2:31" ht="15" customHeight="1" x14ac:dyDescent="0.35">
      <c r="B90" s="21"/>
      <c r="C90" s="171" t="s">
        <v>221</v>
      </c>
      <c r="D90" s="171"/>
      <c r="E90" s="172"/>
      <c r="F90" s="172"/>
      <c r="G90" s="172"/>
      <c r="H90" s="172"/>
      <c r="I90" s="172"/>
      <c r="J90" s="172"/>
      <c r="K90" s="79" t="s">
        <v>35</v>
      </c>
      <c r="M90" s="171" t="s">
        <v>214</v>
      </c>
      <c r="N90" s="171"/>
      <c r="O90" s="171"/>
      <c r="P90" s="171"/>
      <c r="Q90" s="171"/>
      <c r="R90" s="171"/>
      <c r="S90" s="171"/>
      <c r="T90" s="67"/>
      <c r="U90" s="79" t="s">
        <v>35</v>
      </c>
      <c r="V90" s="11"/>
      <c r="AB90" s="125"/>
      <c r="AC90" s="125"/>
      <c r="AD90" s="125"/>
      <c r="AE90" s="125"/>
    </row>
    <row r="91" spans="2:31" ht="2.15" customHeight="1" x14ac:dyDescent="0.3">
      <c r="B91" s="21"/>
      <c r="C91" s="164"/>
      <c r="D91" s="164"/>
      <c r="E91" s="162"/>
      <c r="F91" s="162"/>
      <c r="G91" s="165"/>
      <c r="H91" s="165"/>
      <c r="I91" s="165"/>
      <c r="J91" s="165"/>
      <c r="K91" s="40"/>
      <c r="M91" s="166"/>
      <c r="N91" s="166"/>
      <c r="O91" s="167"/>
      <c r="P91" s="168"/>
      <c r="Q91" s="168"/>
      <c r="R91" s="168"/>
      <c r="S91" s="168"/>
      <c r="T91" s="66"/>
      <c r="U91" s="40"/>
      <c r="V91" s="11"/>
      <c r="AB91" s="125"/>
      <c r="AC91" s="125"/>
      <c r="AD91" s="125"/>
      <c r="AE91" s="125"/>
    </row>
    <row r="92" spans="2:31" ht="15" customHeight="1" x14ac:dyDescent="0.35">
      <c r="B92" s="21"/>
      <c r="C92" s="171" t="s">
        <v>190</v>
      </c>
      <c r="D92" s="171"/>
      <c r="E92" s="172"/>
      <c r="F92" s="172"/>
      <c r="G92" s="172"/>
      <c r="H92" s="172"/>
      <c r="I92" s="172"/>
      <c r="J92" s="163"/>
      <c r="K92" s="79" t="s">
        <v>35</v>
      </c>
      <c r="M92" s="171" t="s">
        <v>211</v>
      </c>
      <c r="N92" s="171"/>
      <c r="O92" s="171"/>
      <c r="P92" s="171"/>
      <c r="Q92" s="171"/>
      <c r="R92" s="171"/>
      <c r="S92" s="171"/>
      <c r="T92" s="67"/>
      <c r="U92" s="79" t="s">
        <v>35</v>
      </c>
      <c r="V92" s="11"/>
      <c r="AB92" s="125"/>
      <c r="AC92" s="125"/>
      <c r="AD92" s="125"/>
      <c r="AE92" s="125"/>
    </row>
    <row r="93" spans="2:31" ht="2.15" customHeight="1" x14ac:dyDescent="0.3">
      <c r="B93" s="21"/>
      <c r="C93" s="164"/>
      <c r="D93" s="164"/>
      <c r="E93" s="162"/>
      <c r="F93" s="162"/>
      <c r="G93" s="165"/>
      <c r="H93" s="165"/>
      <c r="I93" s="165"/>
      <c r="J93" s="165"/>
      <c r="K93" s="40"/>
      <c r="M93" s="166"/>
      <c r="N93" s="166"/>
      <c r="O93" s="167"/>
      <c r="P93" s="168"/>
      <c r="Q93" s="168"/>
      <c r="R93" s="168"/>
      <c r="S93" s="168"/>
      <c r="T93" s="66"/>
      <c r="U93" s="40"/>
      <c r="V93" s="11"/>
      <c r="AB93" s="125"/>
      <c r="AC93" s="125"/>
      <c r="AD93" s="125"/>
      <c r="AE93" s="125"/>
    </row>
    <row r="94" spans="2:31" ht="15" customHeight="1" x14ac:dyDescent="0.35">
      <c r="B94" s="21"/>
      <c r="C94" s="171" t="s">
        <v>206</v>
      </c>
      <c r="D94" s="171"/>
      <c r="E94" s="172"/>
      <c r="F94" s="172"/>
      <c r="G94" s="172"/>
      <c r="H94" s="172"/>
      <c r="I94" s="172"/>
      <c r="J94" s="172"/>
      <c r="K94" s="79" t="s">
        <v>35</v>
      </c>
      <c r="M94" s="171"/>
      <c r="N94" s="171"/>
      <c r="O94" s="172"/>
      <c r="P94" s="172"/>
      <c r="Q94" s="172"/>
      <c r="R94" s="172"/>
      <c r="S94" s="172"/>
      <c r="T94" s="67"/>
      <c r="U94" s="79" t="s">
        <v>35</v>
      </c>
      <c r="V94" s="11"/>
      <c r="AB94" s="125"/>
      <c r="AC94" s="125"/>
      <c r="AD94" s="125"/>
      <c r="AE94" s="125"/>
    </row>
    <row r="95" spans="2:31" ht="2.15" customHeight="1" x14ac:dyDescent="0.3">
      <c r="B95" s="21"/>
      <c r="C95" s="164"/>
      <c r="D95" s="164"/>
      <c r="E95" s="162"/>
      <c r="F95" s="162"/>
      <c r="G95" s="165"/>
      <c r="H95" s="165"/>
      <c r="I95" s="165"/>
      <c r="J95" s="165"/>
      <c r="K95" s="10"/>
      <c r="M95" s="166"/>
      <c r="N95" s="166"/>
      <c r="O95" s="167"/>
      <c r="P95" s="168"/>
      <c r="Q95" s="168"/>
      <c r="R95" s="168"/>
      <c r="S95" s="168"/>
      <c r="T95" s="168"/>
      <c r="U95" s="10"/>
      <c r="V95" s="11"/>
      <c r="AB95" s="125"/>
      <c r="AC95" s="125"/>
      <c r="AD95" s="125"/>
      <c r="AE95" s="125"/>
    </row>
    <row r="96" spans="2:31" ht="2.15" customHeight="1" x14ac:dyDescent="0.3">
      <c r="B96" s="21"/>
      <c r="C96" s="88"/>
      <c r="D96" s="88"/>
      <c r="E96" s="89"/>
      <c r="F96" s="89"/>
      <c r="G96" s="90"/>
      <c r="H96" s="90"/>
      <c r="I96" s="90"/>
      <c r="J96" s="90"/>
      <c r="K96" s="40"/>
      <c r="M96" s="87"/>
      <c r="N96" s="87"/>
      <c r="O96" s="65"/>
      <c r="P96" s="66"/>
      <c r="Q96" s="66"/>
      <c r="R96" s="66"/>
      <c r="S96" s="66"/>
      <c r="T96" s="66"/>
      <c r="U96" s="40"/>
      <c r="V96" s="11"/>
      <c r="AB96" s="125"/>
      <c r="AC96" s="125"/>
      <c r="AD96" s="125"/>
      <c r="AE96" s="125"/>
    </row>
    <row r="97" spans="2:31" ht="15" customHeight="1" x14ac:dyDescent="0.3">
      <c r="B97" s="21"/>
      <c r="C97" s="159" t="s">
        <v>124</v>
      </c>
      <c r="D97" s="12"/>
      <c r="E97" s="12"/>
      <c r="F97" s="12"/>
      <c r="G97" s="10"/>
      <c r="H97" s="10"/>
      <c r="M97" s="12"/>
      <c r="N97" s="12"/>
      <c r="O97" s="160"/>
      <c r="P97" s="160"/>
      <c r="Q97" s="160"/>
      <c r="R97" s="160"/>
      <c r="S97" s="12"/>
      <c r="T97" s="12"/>
      <c r="U97" s="12"/>
      <c r="V97" s="11"/>
      <c r="AB97" s="125"/>
      <c r="AC97" s="125"/>
      <c r="AD97" s="125"/>
      <c r="AE97" s="125"/>
    </row>
    <row r="98" spans="2:31" ht="7.25" customHeight="1" x14ac:dyDescent="0.3">
      <c r="B98" s="21"/>
      <c r="C98" s="2"/>
      <c r="D98" s="2"/>
      <c r="E98" s="12"/>
      <c r="F98" s="12"/>
      <c r="G98" s="10"/>
      <c r="H98" s="10"/>
      <c r="I98" s="10"/>
      <c r="J98" s="10"/>
      <c r="M98" s="12"/>
      <c r="N98" s="12"/>
      <c r="O98" s="10"/>
      <c r="P98" s="12"/>
      <c r="Q98" s="12"/>
      <c r="R98" s="12"/>
      <c r="S98" s="12"/>
      <c r="T98" s="12"/>
      <c r="U98" s="12"/>
      <c r="V98" s="11"/>
      <c r="AB98" s="125"/>
      <c r="AC98" s="125"/>
      <c r="AD98" s="125"/>
      <c r="AE98" s="125"/>
    </row>
    <row r="99" spans="2:31" ht="15" customHeight="1" x14ac:dyDescent="0.35">
      <c r="B99" s="21"/>
      <c r="C99" s="178" t="s">
        <v>231</v>
      </c>
      <c r="D99" s="179"/>
      <c r="E99" s="179"/>
      <c r="F99" s="179"/>
      <c r="G99" s="179"/>
      <c r="H99" s="179"/>
      <c r="I99" s="79" t="s">
        <v>35</v>
      </c>
      <c r="J99" s="41"/>
      <c r="K99" s="178" t="s">
        <v>101</v>
      </c>
      <c r="L99" s="178"/>
      <c r="M99" s="178"/>
      <c r="N99" s="178"/>
      <c r="O99" s="79" t="s">
        <v>35</v>
      </c>
      <c r="P99" s="42"/>
      <c r="Q99" s="178" t="s">
        <v>185</v>
      </c>
      <c r="R99" s="179"/>
      <c r="S99" s="179"/>
      <c r="T99" s="179"/>
      <c r="U99" s="79" t="s">
        <v>35</v>
      </c>
      <c r="V99" s="11"/>
      <c r="AB99" s="125"/>
      <c r="AC99" s="125"/>
      <c r="AD99" s="125"/>
      <c r="AE99" s="125"/>
    </row>
    <row r="100" spans="2:31" ht="2.15" customHeight="1" x14ac:dyDescent="0.3">
      <c r="B100" s="21"/>
      <c r="C100" s="2"/>
      <c r="D100" s="2"/>
      <c r="E100" s="12"/>
      <c r="F100" s="12"/>
      <c r="G100" s="10"/>
      <c r="H100" s="10"/>
      <c r="I100" s="40"/>
      <c r="J100" s="41"/>
      <c r="K100" s="2"/>
      <c r="L100" s="2"/>
      <c r="M100" s="12"/>
      <c r="N100" s="12"/>
      <c r="O100" s="40"/>
      <c r="P100" s="40"/>
      <c r="Q100" s="10"/>
      <c r="R100" s="10"/>
      <c r="S100" s="53"/>
      <c r="T100" s="53"/>
      <c r="U100" s="40"/>
      <c r="V100" s="11"/>
      <c r="AB100" s="125"/>
      <c r="AC100" s="125"/>
      <c r="AD100" s="125"/>
      <c r="AE100" s="125"/>
    </row>
    <row r="101" spans="2:31" ht="15" customHeight="1" x14ac:dyDescent="0.35">
      <c r="B101" s="21"/>
      <c r="C101" s="178" t="s">
        <v>222</v>
      </c>
      <c r="D101" s="179"/>
      <c r="E101" s="179"/>
      <c r="F101" s="179"/>
      <c r="G101" s="179"/>
      <c r="H101" s="179"/>
      <c r="I101" s="79" t="s">
        <v>35</v>
      </c>
      <c r="J101" s="41"/>
      <c r="K101" s="178" t="s">
        <v>187</v>
      </c>
      <c r="L101" s="178"/>
      <c r="M101" s="178"/>
      <c r="N101" s="178"/>
      <c r="O101" s="79" t="s">
        <v>35</v>
      </c>
      <c r="P101" s="42"/>
      <c r="Q101" s="178" t="s">
        <v>230</v>
      </c>
      <c r="R101" s="178"/>
      <c r="S101" s="178"/>
      <c r="T101" s="179"/>
      <c r="U101" s="79" t="s">
        <v>35</v>
      </c>
      <c r="V101" s="11"/>
      <c r="AB101" s="125"/>
      <c r="AC101" s="125"/>
      <c r="AD101" s="125"/>
      <c r="AE101" s="125"/>
    </row>
    <row r="102" spans="2:31" ht="2.15" customHeight="1" x14ac:dyDescent="0.3">
      <c r="B102" s="21"/>
      <c r="C102" s="2"/>
      <c r="D102" s="2"/>
      <c r="E102" s="12"/>
      <c r="F102" s="12"/>
      <c r="G102" s="10"/>
      <c r="H102" s="10"/>
      <c r="I102" s="40"/>
      <c r="J102" s="41"/>
      <c r="K102" s="2"/>
      <c r="L102" s="2"/>
      <c r="M102" s="12"/>
      <c r="N102" s="12"/>
      <c r="O102" s="40"/>
      <c r="P102" s="40"/>
      <c r="Q102" s="10"/>
      <c r="R102" s="10"/>
      <c r="S102" s="53"/>
      <c r="T102" s="53"/>
      <c r="U102" s="40"/>
      <c r="V102" s="11"/>
      <c r="AB102" s="125"/>
      <c r="AC102" s="125"/>
      <c r="AD102" s="125"/>
      <c r="AE102" s="125"/>
    </row>
    <row r="103" spans="2:31" ht="15" customHeight="1" x14ac:dyDescent="0.35">
      <c r="B103" s="21"/>
      <c r="C103" s="178" t="s">
        <v>223</v>
      </c>
      <c r="D103" s="179"/>
      <c r="E103" s="179"/>
      <c r="F103" s="179"/>
      <c r="G103" s="179"/>
      <c r="H103" s="179"/>
      <c r="I103" s="79" t="s">
        <v>35</v>
      </c>
      <c r="J103" s="41"/>
      <c r="K103" s="178" t="s">
        <v>188</v>
      </c>
      <c r="L103" s="179"/>
      <c r="M103" s="179"/>
      <c r="N103" s="179"/>
      <c r="O103" s="79" t="s">
        <v>35</v>
      </c>
      <c r="P103" s="42"/>
      <c r="Q103" s="178" t="s">
        <v>186</v>
      </c>
      <c r="R103" s="179"/>
      <c r="S103" s="179"/>
      <c r="T103" s="179"/>
      <c r="U103" s="79" t="s">
        <v>35</v>
      </c>
      <c r="V103" s="11"/>
      <c r="AB103" s="125"/>
      <c r="AC103" s="125"/>
      <c r="AD103" s="125"/>
      <c r="AE103" s="125"/>
    </row>
    <row r="104" spans="2:31" ht="2.15" customHeight="1" x14ac:dyDescent="0.3">
      <c r="B104" s="21"/>
      <c r="C104" s="2"/>
      <c r="D104" s="2"/>
      <c r="E104" s="12"/>
      <c r="F104" s="12"/>
      <c r="G104" s="10"/>
      <c r="H104" s="10"/>
      <c r="I104" s="40"/>
      <c r="J104" s="41"/>
      <c r="K104" s="2"/>
      <c r="L104" s="2"/>
      <c r="M104" s="12"/>
      <c r="N104" s="12"/>
      <c r="O104" s="40"/>
      <c r="P104" s="40"/>
      <c r="Q104" s="10"/>
      <c r="R104" s="10"/>
      <c r="S104" s="53"/>
      <c r="T104" s="53"/>
      <c r="U104" s="40"/>
      <c r="V104" s="11"/>
      <c r="AB104" s="125"/>
      <c r="AC104" s="125"/>
      <c r="AD104" s="125"/>
      <c r="AE104" s="125"/>
    </row>
    <row r="105" spans="2:31" ht="15" customHeight="1" x14ac:dyDescent="0.35">
      <c r="B105" s="21"/>
      <c r="C105" s="178" t="s">
        <v>192</v>
      </c>
      <c r="D105" s="179"/>
      <c r="E105" s="179"/>
      <c r="F105" s="179"/>
      <c r="G105" s="179"/>
      <c r="H105" s="179"/>
      <c r="I105" s="79" t="s">
        <v>35</v>
      </c>
      <c r="J105" s="41"/>
      <c r="K105" s="178" t="s">
        <v>212</v>
      </c>
      <c r="L105" s="178"/>
      <c r="M105" s="178"/>
      <c r="N105" s="179"/>
      <c r="O105" s="79" t="s">
        <v>35</v>
      </c>
      <c r="P105" s="42"/>
      <c r="Q105" s="178"/>
      <c r="R105" s="179"/>
      <c r="S105" s="179"/>
      <c r="T105" s="179"/>
      <c r="U105" s="79" t="s">
        <v>35</v>
      </c>
      <c r="V105" s="11"/>
      <c r="AB105" s="125"/>
      <c r="AC105" s="125"/>
      <c r="AD105" s="125"/>
      <c r="AE105" s="125"/>
    </row>
    <row r="106" spans="2:31" ht="2.15" customHeight="1" x14ac:dyDescent="0.3">
      <c r="B106" s="21"/>
      <c r="C106" s="2"/>
      <c r="D106" s="2"/>
      <c r="E106" s="12"/>
      <c r="F106" s="12"/>
      <c r="G106" s="10"/>
      <c r="H106" s="10"/>
      <c r="I106" s="40"/>
      <c r="J106" s="41"/>
      <c r="K106" s="2"/>
      <c r="L106" s="2"/>
      <c r="M106" s="12"/>
      <c r="N106" s="12"/>
      <c r="O106" s="40"/>
      <c r="P106" s="40"/>
      <c r="Q106" s="10"/>
      <c r="R106" s="10"/>
      <c r="S106" s="53"/>
      <c r="T106" s="53"/>
      <c r="U106" s="40"/>
      <c r="V106" s="11"/>
      <c r="AB106" s="125"/>
      <c r="AC106" s="125"/>
      <c r="AD106" s="125"/>
      <c r="AE106" s="125"/>
    </row>
    <row r="107" spans="2:31" ht="15" customHeight="1" x14ac:dyDescent="0.35">
      <c r="B107" s="21"/>
      <c r="C107" s="178" t="s">
        <v>200</v>
      </c>
      <c r="D107" s="179"/>
      <c r="E107" s="179"/>
      <c r="F107" s="179"/>
      <c r="G107" s="179"/>
      <c r="H107" s="179"/>
      <c r="I107" s="79" t="s">
        <v>35</v>
      </c>
      <c r="J107" s="41"/>
      <c r="K107" s="178" t="s">
        <v>205</v>
      </c>
      <c r="L107" s="179"/>
      <c r="M107" s="179"/>
      <c r="N107" s="179"/>
      <c r="O107" s="79" t="s">
        <v>35</v>
      </c>
      <c r="P107" s="42"/>
      <c r="Q107" s="178"/>
      <c r="R107" s="179"/>
      <c r="S107" s="179"/>
      <c r="T107" s="179"/>
      <c r="U107" s="79" t="s">
        <v>35</v>
      </c>
      <c r="V107" s="11"/>
      <c r="AB107" s="125"/>
      <c r="AC107" s="125"/>
      <c r="AD107" s="125"/>
      <c r="AE107" s="125"/>
    </row>
    <row r="108" spans="2:31" ht="2.15" customHeight="1" x14ac:dyDescent="0.3">
      <c r="B108" s="21"/>
      <c r="C108" s="2"/>
      <c r="D108" s="2"/>
      <c r="E108" s="12"/>
      <c r="F108" s="12"/>
      <c r="G108" s="10"/>
      <c r="H108" s="10"/>
      <c r="I108" s="40"/>
      <c r="J108" s="41"/>
      <c r="K108" s="2"/>
      <c r="L108" s="2"/>
      <c r="M108" s="12"/>
      <c r="N108" s="12"/>
      <c r="O108" s="40"/>
      <c r="P108" s="40"/>
      <c r="Q108" s="10"/>
      <c r="R108" s="10"/>
      <c r="S108" s="53"/>
      <c r="T108" s="53"/>
      <c r="U108" s="40"/>
      <c r="V108" s="11"/>
      <c r="AB108" s="125"/>
      <c r="AC108" s="125"/>
      <c r="AD108" s="125"/>
      <c r="AE108" s="125"/>
    </row>
    <row r="109" spans="2:31" ht="15" customHeight="1" x14ac:dyDescent="0.35">
      <c r="B109" s="21"/>
      <c r="C109" s="178" t="s">
        <v>204</v>
      </c>
      <c r="D109" s="179"/>
      <c r="E109" s="179"/>
      <c r="F109" s="179"/>
      <c r="G109" s="179"/>
      <c r="H109" s="179"/>
      <c r="I109" s="79" t="s">
        <v>35</v>
      </c>
      <c r="J109" s="41"/>
      <c r="K109" s="178" t="s">
        <v>191</v>
      </c>
      <c r="L109" s="178"/>
      <c r="M109" s="178"/>
      <c r="N109" s="179"/>
      <c r="O109" s="79" t="s">
        <v>35</v>
      </c>
      <c r="P109" s="42"/>
      <c r="Q109" s="178"/>
      <c r="R109" s="178"/>
      <c r="S109" s="178"/>
      <c r="T109" s="179"/>
      <c r="U109" s="79" t="s">
        <v>35</v>
      </c>
      <c r="V109" s="11"/>
      <c r="AB109" s="125"/>
      <c r="AC109" s="125"/>
      <c r="AD109" s="125"/>
      <c r="AE109" s="125"/>
    </row>
    <row r="110" spans="2:31" ht="7.25" customHeight="1" x14ac:dyDescent="0.3">
      <c r="B110" s="21"/>
      <c r="C110" s="162"/>
      <c r="D110" s="162"/>
      <c r="E110" s="12"/>
      <c r="F110" s="12"/>
      <c r="G110" s="10"/>
      <c r="H110" s="10"/>
      <c r="I110" s="10"/>
      <c r="J110" s="10"/>
      <c r="M110" s="12"/>
      <c r="N110" s="12"/>
      <c r="O110" s="12"/>
      <c r="P110" s="12"/>
      <c r="Q110" s="12"/>
      <c r="R110" s="12"/>
      <c r="S110" s="12"/>
      <c r="T110" s="12"/>
      <c r="U110" s="12"/>
      <c r="V110" s="11"/>
      <c r="X110" s="118"/>
      <c r="Z110" s="119"/>
      <c r="AB110" s="125"/>
      <c r="AC110" s="125"/>
      <c r="AD110" s="125"/>
      <c r="AE110" s="125"/>
    </row>
    <row r="111" spans="2:31" ht="15" customHeight="1" x14ac:dyDescent="0.3">
      <c r="B111" s="21"/>
      <c r="C111" s="162" t="s">
        <v>61</v>
      </c>
      <c r="D111" s="162"/>
      <c r="E111" s="12"/>
      <c r="F111" s="12"/>
      <c r="G111" s="10"/>
      <c r="H111" s="10"/>
      <c r="J111" s="169"/>
      <c r="K111" s="79" t="s">
        <v>35</v>
      </c>
      <c r="N111" s="12"/>
      <c r="O111" s="12" t="s">
        <v>62</v>
      </c>
      <c r="P111" s="182"/>
      <c r="Q111" s="183"/>
      <c r="R111" s="170"/>
      <c r="S111" s="12" t="s">
        <v>63</v>
      </c>
      <c r="T111" s="12"/>
      <c r="U111" s="233"/>
      <c r="V111" s="11"/>
      <c r="X111" s="134" t="s">
        <v>171</v>
      </c>
      <c r="Y111" s="135"/>
      <c r="Z111" s="120">
        <f>VLOOKUP(E36,Tablas!M5:N9,2,FALSE)</f>
        <v>0</v>
      </c>
      <c r="AB111" s="125"/>
      <c r="AC111" s="125"/>
      <c r="AD111" s="125"/>
      <c r="AE111" s="125"/>
    </row>
    <row r="112" spans="2:31" ht="2.15" customHeight="1" x14ac:dyDescent="0.3">
      <c r="B112" s="21"/>
      <c r="C112" s="162"/>
      <c r="D112" s="162"/>
      <c r="E112" s="12"/>
      <c r="F112" s="12"/>
      <c r="G112" s="10"/>
      <c r="H112" s="10"/>
      <c r="J112" s="10"/>
      <c r="K112" s="10"/>
      <c r="N112" s="12"/>
      <c r="O112" s="12"/>
      <c r="P112" s="12"/>
      <c r="Q112" s="12"/>
      <c r="R112" s="12"/>
      <c r="S112" s="12"/>
      <c r="T112" s="12"/>
      <c r="U112" s="12"/>
      <c r="V112" s="11"/>
      <c r="X112" s="132"/>
      <c r="Y112" s="136"/>
      <c r="Z112" s="121"/>
      <c r="AB112" s="125"/>
      <c r="AC112" s="125"/>
      <c r="AD112" s="125"/>
      <c r="AE112" s="125"/>
    </row>
    <row r="113" spans="2:31" ht="15" customHeight="1" x14ac:dyDescent="0.3">
      <c r="B113" s="21"/>
      <c r="C113" s="162" t="s">
        <v>64</v>
      </c>
      <c r="D113" s="162"/>
      <c r="E113" s="12"/>
      <c r="F113" s="12"/>
      <c r="G113" s="10"/>
      <c r="H113" s="10"/>
      <c r="J113" s="169"/>
      <c r="K113" s="79" t="s">
        <v>35</v>
      </c>
      <c r="N113" s="12"/>
      <c r="O113" s="12" t="s">
        <v>62</v>
      </c>
      <c r="P113" s="182"/>
      <c r="Q113" s="183"/>
      <c r="R113" s="170"/>
      <c r="S113" s="12" t="s">
        <v>63</v>
      </c>
      <c r="T113" s="12"/>
      <c r="U113" s="233"/>
      <c r="V113" s="11"/>
      <c r="X113" s="133" t="s">
        <v>166</v>
      </c>
      <c r="Y113" s="137"/>
      <c r="Z113" s="122">
        <v>100</v>
      </c>
      <c r="AB113" s="125"/>
      <c r="AC113" s="125"/>
      <c r="AD113" s="125"/>
      <c r="AE113" s="125"/>
    </row>
    <row r="114" spans="2:31" ht="2.15" customHeight="1" x14ac:dyDescent="0.3">
      <c r="B114" s="21"/>
      <c r="C114" s="162"/>
      <c r="D114" s="162"/>
      <c r="E114" s="12"/>
      <c r="F114" s="12"/>
      <c r="G114" s="10"/>
      <c r="H114" s="10"/>
      <c r="J114" s="10"/>
      <c r="K114" s="10"/>
      <c r="N114" s="12"/>
      <c r="O114" s="12"/>
      <c r="P114" s="12"/>
      <c r="Q114" s="12"/>
      <c r="R114" s="12"/>
      <c r="S114" s="12"/>
      <c r="T114" s="12"/>
      <c r="U114" s="12"/>
      <c r="V114" s="11"/>
      <c r="X114" s="132"/>
      <c r="Y114" s="136"/>
      <c r="Z114" s="121"/>
      <c r="AB114" s="125"/>
      <c r="AC114" s="125"/>
      <c r="AD114" s="125"/>
      <c r="AE114" s="125"/>
    </row>
    <row r="115" spans="2:31" ht="18" customHeight="1" x14ac:dyDescent="0.3">
      <c r="B115" s="21"/>
      <c r="C115" s="162" t="s">
        <v>180</v>
      </c>
      <c r="D115" s="162"/>
      <c r="E115" s="190"/>
      <c r="F115" s="190"/>
      <c r="G115" s="190"/>
      <c r="H115" s="190"/>
      <c r="I115" s="190"/>
      <c r="J115" s="169"/>
      <c r="K115" s="79" t="s">
        <v>35</v>
      </c>
      <c r="N115" s="12"/>
      <c r="O115" s="12" t="s">
        <v>62</v>
      </c>
      <c r="P115" s="182"/>
      <c r="Q115" s="183"/>
      <c r="R115" s="170"/>
      <c r="S115" s="12" t="s">
        <v>63</v>
      </c>
      <c r="T115" s="12"/>
      <c r="U115" s="233"/>
      <c r="V115" s="11"/>
      <c r="X115" s="134" t="s">
        <v>172</v>
      </c>
      <c r="Y115" s="135"/>
      <c r="Z115" s="144">
        <f>+Z111*Z113</f>
        <v>0</v>
      </c>
      <c r="AB115" s="125"/>
      <c r="AC115" s="125"/>
      <c r="AD115" s="125"/>
      <c r="AE115" s="125"/>
    </row>
    <row r="116" spans="2:31" ht="7.25" customHeight="1" thickBot="1" x14ac:dyDescent="0.35">
      <c r="B116" s="15"/>
      <c r="C116" s="16"/>
      <c r="D116" s="16"/>
      <c r="E116" s="16"/>
      <c r="F116" s="16"/>
      <c r="G116" s="28"/>
      <c r="H116" s="28"/>
      <c r="I116" s="28"/>
      <c r="J116" s="28"/>
      <c r="K116" s="64"/>
      <c r="L116" s="64"/>
      <c r="M116" s="16"/>
      <c r="N116" s="16"/>
      <c r="O116" s="16"/>
      <c r="P116" s="16"/>
      <c r="Q116" s="16"/>
      <c r="R116" s="16"/>
      <c r="S116" s="16"/>
      <c r="T116" s="16"/>
      <c r="U116" s="16"/>
      <c r="V116" s="17"/>
      <c r="X116" s="143"/>
      <c r="Y116" s="138"/>
      <c r="Z116" s="145"/>
    </row>
    <row r="117" spans="2:31" ht="6" customHeight="1" thickBot="1" x14ac:dyDescent="0.35"/>
    <row r="118" spans="2:31" ht="7.25" customHeight="1" x14ac:dyDescent="0.3">
      <c r="B118" s="70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4"/>
    </row>
    <row r="119" spans="2:31" ht="15" customHeight="1" x14ac:dyDescent="0.3">
      <c r="B119" s="82"/>
      <c r="C119" s="84" t="s">
        <v>163</v>
      </c>
      <c r="D119" s="84"/>
      <c r="E119" s="83"/>
      <c r="F119" s="83"/>
      <c r="G119" s="83"/>
      <c r="H119" s="83"/>
      <c r="I119" s="102"/>
      <c r="J119" s="103"/>
      <c r="K119" s="103"/>
      <c r="L119" s="103"/>
      <c r="M119" s="104"/>
      <c r="N119" s="73"/>
      <c r="O119" s="105"/>
      <c r="P119" s="83"/>
      <c r="Q119" s="73" t="s">
        <v>74</v>
      </c>
      <c r="R119" s="73"/>
      <c r="S119" s="187"/>
      <c r="T119" s="188"/>
      <c r="U119" s="189"/>
      <c r="V119" s="78"/>
    </row>
    <row r="120" spans="2:31" ht="7.25" customHeight="1" x14ac:dyDescent="0.3">
      <c r="B120" s="82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78"/>
    </row>
    <row r="121" spans="2:31" ht="15" customHeight="1" x14ac:dyDescent="0.3">
      <c r="B121" s="72"/>
      <c r="C121" s="73" t="s">
        <v>162</v>
      </c>
      <c r="D121" s="73"/>
      <c r="E121" s="73"/>
      <c r="F121" s="73"/>
      <c r="G121" s="184" t="s">
        <v>152</v>
      </c>
      <c r="H121" s="185"/>
      <c r="I121" s="186"/>
      <c r="J121" s="73"/>
      <c r="K121" s="73" t="s">
        <v>167</v>
      </c>
      <c r="L121" s="73"/>
      <c r="M121" s="73"/>
      <c r="N121" s="180" t="s">
        <v>73</v>
      </c>
      <c r="O121" s="181"/>
      <c r="P121" s="73"/>
      <c r="Q121" s="180" t="s">
        <v>72</v>
      </c>
      <c r="R121" s="181"/>
      <c r="S121" s="73"/>
      <c r="T121" s="180" t="s">
        <v>153</v>
      </c>
      <c r="U121" s="181"/>
      <c r="V121" s="78"/>
    </row>
    <row r="122" spans="2:31" ht="7.25" customHeight="1" x14ac:dyDescent="0.3">
      <c r="B122" s="82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78"/>
    </row>
    <row r="123" spans="2:31" ht="15" customHeight="1" x14ac:dyDescent="0.3">
      <c r="B123" s="72"/>
      <c r="C123" s="228" t="s">
        <v>154</v>
      </c>
      <c r="D123" s="229"/>
      <c r="E123" s="230"/>
      <c r="F123" s="73"/>
      <c r="G123" s="228" t="s">
        <v>155</v>
      </c>
      <c r="H123" s="229"/>
      <c r="I123" s="230"/>
      <c r="J123" s="106"/>
      <c r="K123" s="228" t="s">
        <v>234</v>
      </c>
      <c r="L123" s="229"/>
      <c r="M123" s="230"/>
      <c r="N123" s="106"/>
      <c r="O123" s="228" t="s">
        <v>236</v>
      </c>
      <c r="P123" s="229"/>
      <c r="Q123" s="230"/>
      <c r="R123" s="106"/>
      <c r="S123" s="228" t="s">
        <v>238</v>
      </c>
      <c r="T123" s="229"/>
      <c r="U123" s="230"/>
      <c r="V123" s="78"/>
    </row>
    <row r="124" spans="2:31" ht="11.15" customHeight="1" x14ac:dyDescent="0.3">
      <c r="B124" s="72"/>
      <c r="C124" s="231" t="s">
        <v>156</v>
      </c>
      <c r="D124" s="226"/>
      <c r="E124" s="227"/>
      <c r="F124" s="73"/>
      <c r="G124" s="231" t="s">
        <v>157</v>
      </c>
      <c r="H124" s="226"/>
      <c r="I124" s="227"/>
      <c r="J124" s="107"/>
      <c r="K124" s="225" t="s">
        <v>235</v>
      </c>
      <c r="L124" s="226"/>
      <c r="M124" s="227"/>
      <c r="N124" s="107"/>
      <c r="O124" s="225" t="s">
        <v>237</v>
      </c>
      <c r="P124" s="226"/>
      <c r="Q124" s="227"/>
      <c r="R124" s="107"/>
      <c r="S124" s="225" t="s">
        <v>239</v>
      </c>
      <c r="T124" s="226"/>
      <c r="U124" s="227"/>
      <c r="V124" s="78"/>
    </row>
    <row r="125" spans="2:31" ht="7.25" customHeight="1" thickBot="1" x14ac:dyDescent="0.35">
      <c r="B125" s="75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7"/>
    </row>
    <row r="126" spans="2:31" ht="6" customHeight="1" x14ac:dyDescent="0.3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2:31" ht="16" customHeight="1" x14ac:dyDescent="0.3">
      <c r="C127" s="112" t="s">
        <v>170</v>
      </c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</row>
    <row r="129" spans="24:31" ht="14.15" customHeight="1" x14ac:dyDescent="0.3">
      <c r="X129" s="123"/>
      <c r="Y129" s="123"/>
      <c r="Z129" s="123"/>
      <c r="AA129" s="123"/>
      <c r="AB129" s="123"/>
      <c r="AC129" s="123"/>
      <c r="AD129" s="123"/>
      <c r="AE129" s="123"/>
    </row>
    <row r="130" spans="24:31" ht="14.15" customHeight="1" x14ac:dyDescent="0.3">
      <c r="X130" s="123"/>
      <c r="Y130" s="123"/>
      <c r="Z130" s="123"/>
      <c r="AA130" s="123"/>
      <c r="AB130" s="123"/>
      <c r="AC130" s="123"/>
      <c r="AD130" s="123"/>
      <c r="AE130" s="123"/>
    </row>
    <row r="131" spans="24:31" ht="14.15" customHeight="1" x14ac:dyDescent="0.3">
      <c r="X131" s="123"/>
      <c r="Y131" s="123"/>
      <c r="Z131" s="123"/>
      <c r="AA131" s="123"/>
      <c r="AB131" s="123"/>
      <c r="AC131" s="123"/>
      <c r="AD131" s="123"/>
      <c r="AE131" s="123"/>
    </row>
    <row r="132" spans="24:31" ht="14.15" customHeight="1" x14ac:dyDescent="0.3">
      <c r="X132" s="123"/>
      <c r="Y132" s="123"/>
      <c r="Z132" s="123"/>
      <c r="AA132" s="123"/>
      <c r="AB132" s="123"/>
      <c r="AC132" s="123"/>
      <c r="AD132" s="123"/>
      <c r="AE132" s="123"/>
    </row>
    <row r="140" spans="24:31" ht="40.25" customHeight="1" x14ac:dyDescent="0.3"/>
    <row r="142" spans="24:31" ht="40.25" customHeight="1" x14ac:dyDescent="0.3"/>
    <row r="145" spans="21:26" ht="14.15" customHeight="1" x14ac:dyDescent="0.3">
      <c r="V145" s="2"/>
      <c r="W145" s="2"/>
      <c r="X145" s="2"/>
      <c r="Y145" s="2"/>
      <c r="Z145" s="2"/>
    </row>
    <row r="146" spans="21:26" ht="14.15" customHeight="1" x14ac:dyDescent="0.3">
      <c r="U146" s="2"/>
      <c r="V146" s="2"/>
      <c r="W146" s="2"/>
      <c r="X146" s="2"/>
      <c r="Y146" s="2"/>
      <c r="Z146" s="2"/>
    </row>
    <row r="147" spans="21:26" ht="14.15" customHeight="1" x14ac:dyDescent="0.3">
      <c r="U147" s="2"/>
      <c r="V147" s="2"/>
      <c r="W147" s="2"/>
      <c r="X147" s="2"/>
      <c r="Y147" s="2"/>
      <c r="Z147" s="2"/>
    </row>
    <row r="148" spans="21:26" ht="14.15" customHeight="1" x14ac:dyDescent="0.3">
      <c r="U148" s="2"/>
      <c r="V148" s="2"/>
      <c r="W148" s="2"/>
      <c r="X148" s="2"/>
      <c r="Y148" s="2"/>
      <c r="Z148" s="2"/>
    </row>
    <row r="149" spans="21:26" ht="14.15" customHeight="1" x14ac:dyDescent="0.3">
      <c r="U149" s="2"/>
      <c r="V149" s="2"/>
      <c r="W149" s="2"/>
      <c r="X149" s="2"/>
      <c r="Y149" s="2"/>
      <c r="Z149" s="2"/>
    </row>
    <row r="150" spans="21:26" ht="14.15" customHeight="1" x14ac:dyDescent="0.3">
      <c r="U150" s="2"/>
      <c r="V150" s="2"/>
      <c r="W150" s="2"/>
      <c r="X150" s="2"/>
      <c r="Y150" s="2"/>
      <c r="Z150" s="2"/>
    </row>
    <row r="151" spans="21:26" ht="14.15" customHeight="1" x14ac:dyDescent="0.3">
      <c r="U151" s="2"/>
      <c r="V151" s="2"/>
      <c r="W151" s="2"/>
      <c r="X151" s="2"/>
      <c r="Y151" s="2"/>
      <c r="Z151" s="2"/>
    </row>
    <row r="152" spans="21:26" ht="14.15" customHeight="1" x14ac:dyDescent="0.3">
      <c r="U152" s="2"/>
      <c r="V152" s="2"/>
      <c r="W152" s="2"/>
      <c r="X152" s="2"/>
      <c r="Y152" s="2"/>
      <c r="Z152" s="2"/>
    </row>
    <row r="153" spans="21:26" ht="14.15" customHeight="1" x14ac:dyDescent="0.3">
      <c r="U153" s="2"/>
      <c r="V153" s="2"/>
      <c r="W153" s="2"/>
      <c r="X153" s="2"/>
      <c r="Y153" s="2"/>
      <c r="Z153" s="2"/>
    </row>
    <row r="154" spans="21:26" ht="14.15" customHeight="1" x14ac:dyDescent="0.3">
      <c r="U154" s="2"/>
      <c r="V154" s="2"/>
      <c r="W154" s="2"/>
      <c r="X154" s="2"/>
      <c r="Y154" s="2"/>
      <c r="Z154" s="2"/>
    </row>
    <row r="155" spans="21:26" ht="14.15" customHeight="1" x14ac:dyDescent="0.3">
      <c r="U155" s="2"/>
      <c r="V155" s="2"/>
      <c r="W155" s="2"/>
      <c r="X155" s="2"/>
      <c r="Y155" s="2"/>
      <c r="Z155" s="2"/>
    </row>
    <row r="156" spans="21:26" ht="14.15" customHeight="1" x14ac:dyDescent="0.3">
      <c r="U156" s="2"/>
      <c r="V156" s="2"/>
      <c r="W156" s="2"/>
      <c r="X156" s="2"/>
      <c r="Y156" s="2"/>
      <c r="Z156" s="2"/>
    </row>
    <row r="157" spans="21:26" ht="14.15" customHeight="1" x14ac:dyDescent="0.3">
      <c r="U157" s="2"/>
      <c r="V157" s="2"/>
      <c r="W157" s="2"/>
      <c r="X157" s="2"/>
      <c r="Y157" s="2"/>
      <c r="Z157" s="2"/>
    </row>
    <row r="158" spans="21:26" ht="14.15" customHeight="1" x14ac:dyDescent="0.3">
      <c r="U158" s="2"/>
      <c r="V158" s="2"/>
      <c r="W158" s="2"/>
      <c r="X158" s="2"/>
      <c r="Y158" s="2"/>
      <c r="Z158" s="2"/>
    </row>
    <row r="159" spans="21:26" ht="14.15" customHeight="1" x14ac:dyDescent="0.3">
      <c r="U159" s="2"/>
      <c r="V159" s="2"/>
      <c r="W159" s="2"/>
      <c r="X159" s="2"/>
      <c r="Y159" s="2"/>
      <c r="Z159" s="2"/>
    </row>
    <row r="160" spans="21:26" ht="14.15" customHeight="1" x14ac:dyDescent="0.3">
      <c r="U160" s="2"/>
      <c r="V160" s="2"/>
      <c r="W160" s="2"/>
      <c r="X160" s="2"/>
      <c r="Y160" s="2"/>
      <c r="Z160" s="2"/>
    </row>
    <row r="161" spans="21:26" ht="14.15" customHeight="1" x14ac:dyDescent="0.3">
      <c r="U161" s="2"/>
      <c r="V161" s="2"/>
      <c r="W161" s="2"/>
      <c r="X161" s="2"/>
      <c r="Y161" s="2"/>
      <c r="Z161" s="2"/>
    </row>
    <row r="162" spans="21:26" ht="14.15" customHeight="1" x14ac:dyDescent="0.3">
      <c r="U162" s="2"/>
      <c r="V162" s="2"/>
      <c r="W162" s="2"/>
      <c r="X162" s="2"/>
      <c r="Y162" s="2"/>
      <c r="Z162" s="2"/>
    </row>
    <row r="163" spans="21:26" ht="14.15" customHeight="1" x14ac:dyDescent="0.3">
      <c r="U163" s="2"/>
      <c r="V163" s="2"/>
      <c r="W163" s="2"/>
      <c r="X163" s="2"/>
      <c r="Y163" s="2"/>
      <c r="Z163" s="2"/>
    </row>
    <row r="164" spans="21:26" ht="14.15" customHeight="1" x14ac:dyDescent="0.3">
      <c r="U164" s="2"/>
      <c r="V164" s="2"/>
      <c r="W164" s="2"/>
      <c r="X164" s="2"/>
      <c r="Y164" s="2"/>
      <c r="Z164" s="2"/>
    </row>
    <row r="165" spans="21:26" ht="14.15" customHeight="1" x14ac:dyDescent="0.3">
      <c r="U165" s="2"/>
      <c r="V165" s="2"/>
      <c r="W165" s="2"/>
      <c r="X165" s="2"/>
      <c r="Y165" s="2"/>
      <c r="Z165" s="2"/>
    </row>
    <row r="166" spans="21:26" ht="14.15" customHeight="1" x14ac:dyDescent="0.3">
      <c r="U166" s="2"/>
      <c r="V166" s="2"/>
      <c r="W166" s="2"/>
      <c r="X166" s="2"/>
      <c r="Y166" s="2"/>
      <c r="Z166" s="2"/>
    </row>
    <row r="167" spans="21:26" ht="14.15" customHeight="1" x14ac:dyDescent="0.3">
      <c r="U167" s="2"/>
      <c r="V167" s="2"/>
      <c r="W167" s="2"/>
      <c r="X167" s="2"/>
      <c r="Y167" s="2"/>
      <c r="Z167" s="2"/>
    </row>
    <row r="168" spans="21:26" ht="14.15" customHeight="1" x14ac:dyDescent="0.3">
      <c r="U168" s="2"/>
      <c r="V168" s="2"/>
      <c r="W168" s="2"/>
      <c r="X168" s="2"/>
      <c r="Y168" s="2"/>
      <c r="Z168" s="2"/>
    </row>
    <row r="169" spans="21:26" ht="14.15" customHeight="1" x14ac:dyDescent="0.3">
      <c r="U169" s="2"/>
      <c r="V169" s="2"/>
      <c r="W169" s="2"/>
      <c r="X169" s="2"/>
      <c r="Y169" s="2"/>
      <c r="Z169" s="2"/>
    </row>
    <row r="170" spans="21:26" ht="14.15" customHeight="1" x14ac:dyDescent="0.3">
      <c r="U170" s="2"/>
      <c r="V170" s="2"/>
      <c r="W170" s="2"/>
      <c r="X170" s="2"/>
      <c r="Y170" s="2"/>
      <c r="Z170" s="2"/>
    </row>
    <row r="171" spans="21:26" ht="14.15" customHeight="1" x14ac:dyDescent="0.3">
      <c r="U171" s="2"/>
      <c r="V171" s="2"/>
      <c r="W171" s="2"/>
      <c r="X171" s="2"/>
      <c r="Y171" s="2"/>
      <c r="Z171" s="2"/>
    </row>
    <row r="172" spans="21:26" ht="14.15" customHeight="1" x14ac:dyDescent="0.3">
      <c r="U172" s="2"/>
      <c r="V172" s="2"/>
      <c r="W172" s="2"/>
      <c r="X172" s="2"/>
      <c r="Y172" s="2"/>
      <c r="Z172" s="2"/>
    </row>
    <row r="173" spans="21:26" ht="14.15" customHeight="1" x14ac:dyDescent="0.3">
      <c r="U173" s="2"/>
      <c r="V173" s="2"/>
      <c r="W173" s="2"/>
      <c r="X173" s="2"/>
      <c r="Y173" s="2"/>
      <c r="Z173" s="2"/>
    </row>
    <row r="174" spans="21:26" ht="14.15" customHeight="1" x14ac:dyDescent="0.3">
      <c r="U174" s="2"/>
      <c r="V174" s="2"/>
      <c r="W174" s="2"/>
      <c r="X174" s="2"/>
      <c r="Y174" s="2"/>
      <c r="Z174" s="2"/>
    </row>
    <row r="175" spans="21:26" ht="14.15" customHeight="1" x14ac:dyDescent="0.3">
      <c r="U175" s="2"/>
      <c r="V175" s="2"/>
      <c r="W175" s="2"/>
      <c r="X175" s="2"/>
      <c r="Y175" s="2"/>
      <c r="Z175" s="2"/>
    </row>
    <row r="176" spans="21:26" ht="14.15" customHeight="1" x14ac:dyDescent="0.3">
      <c r="U176" s="2"/>
      <c r="V176" s="2"/>
      <c r="W176" s="2"/>
      <c r="X176" s="2"/>
      <c r="Y176" s="2"/>
      <c r="Z176" s="2"/>
    </row>
    <row r="177" spans="21:26" ht="14.15" customHeight="1" x14ac:dyDescent="0.3">
      <c r="U177" s="2"/>
      <c r="V177" s="2"/>
      <c r="W177" s="2"/>
      <c r="X177" s="2"/>
      <c r="Y177" s="2"/>
      <c r="Z177" s="2"/>
    </row>
    <row r="178" spans="21:26" ht="14.15" customHeight="1" x14ac:dyDescent="0.3">
      <c r="U178" s="2"/>
      <c r="V178" s="2"/>
      <c r="W178" s="2"/>
      <c r="X178" s="2"/>
      <c r="Y178" s="2"/>
      <c r="Z178" s="2"/>
    </row>
    <row r="179" spans="21:26" ht="14.15" customHeight="1" x14ac:dyDescent="0.3">
      <c r="U179" s="2"/>
      <c r="V179" s="2"/>
      <c r="W179" s="2"/>
      <c r="X179" s="2"/>
      <c r="Y179" s="2"/>
      <c r="Z179" s="2"/>
    </row>
    <row r="180" spans="21:26" ht="14.15" customHeight="1" x14ac:dyDescent="0.3">
      <c r="U180" s="2"/>
      <c r="V180" s="2"/>
      <c r="W180" s="2"/>
      <c r="X180" s="2"/>
      <c r="Y180" s="2"/>
      <c r="Z180" s="2"/>
    </row>
    <row r="181" spans="21:26" ht="14.15" customHeight="1" x14ac:dyDescent="0.3">
      <c r="U181" s="2"/>
      <c r="V181" s="2"/>
      <c r="W181" s="2"/>
      <c r="X181" s="2"/>
      <c r="Y181" s="2"/>
      <c r="Z181" s="2"/>
    </row>
    <row r="182" spans="21:26" ht="14.15" customHeight="1" x14ac:dyDescent="0.3">
      <c r="U182" s="2"/>
      <c r="V182" s="2"/>
      <c r="W182" s="2"/>
      <c r="X182" s="2"/>
      <c r="Y182" s="2"/>
      <c r="Z182" s="2"/>
    </row>
    <row r="183" spans="21:26" ht="14.15" customHeight="1" x14ac:dyDescent="0.3">
      <c r="U183" s="2"/>
      <c r="V183" s="2"/>
      <c r="W183" s="2"/>
      <c r="X183" s="2"/>
      <c r="Y183" s="2"/>
      <c r="Z183" s="2"/>
    </row>
    <row r="184" spans="21:26" ht="14.15" customHeight="1" x14ac:dyDescent="0.3">
      <c r="U184" s="2"/>
      <c r="V184" s="2"/>
      <c r="W184" s="2"/>
      <c r="X184" s="2"/>
      <c r="Y184" s="2"/>
      <c r="Z184" s="2"/>
    </row>
    <row r="185" spans="21:26" ht="14.15" customHeight="1" x14ac:dyDescent="0.3">
      <c r="U185" s="2"/>
      <c r="V185" s="2"/>
      <c r="W185" s="2"/>
      <c r="X185" s="2"/>
      <c r="Y185" s="2"/>
      <c r="Z185" s="2"/>
    </row>
    <row r="186" spans="21:26" ht="14.15" customHeight="1" x14ac:dyDescent="0.3">
      <c r="U186" s="2"/>
      <c r="V186" s="2"/>
      <c r="W186" s="2"/>
      <c r="X186" s="2"/>
      <c r="Y186" s="2"/>
      <c r="Z186" s="2"/>
    </row>
    <row r="187" spans="21:26" ht="14.15" customHeight="1" x14ac:dyDescent="0.3">
      <c r="U187" s="2"/>
      <c r="V187" s="2"/>
      <c r="W187" s="2"/>
      <c r="X187" s="2"/>
      <c r="Y187" s="2"/>
      <c r="Z187" s="2"/>
    </row>
    <row r="188" spans="21:26" ht="14.15" customHeight="1" x14ac:dyDescent="0.3">
      <c r="U188" s="2"/>
      <c r="V188" s="2"/>
      <c r="W188" s="2"/>
      <c r="X188" s="2"/>
      <c r="Y188" s="2"/>
      <c r="Z188" s="2"/>
    </row>
    <row r="189" spans="21:26" ht="14.15" customHeight="1" x14ac:dyDescent="0.3">
      <c r="U189" s="2"/>
      <c r="V189" s="2"/>
      <c r="W189" s="2"/>
      <c r="X189" s="2"/>
      <c r="Y189" s="2"/>
      <c r="Z189" s="2"/>
    </row>
    <row r="190" spans="21:26" ht="14.15" customHeight="1" x14ac:dyDescent="0.3">
      <c r="U190" s="2"/>
      <c r="V190" s="2"/>
      <c r="W190" s="2"/>
      <c r="X190" s="2"/>
      <c r="Y190" s="2"/>
      <c r="Z190" s="2"/>
    </row>
    <row r="191" spans="21:26" ht="14.15" customHeight="1" x14ac:dyDescent="0.3">
      <c r="U191" s="2"/>
      <c r="V191" s="2"/>
      <c r="W191" s="2"/>
      <c r="X191" s="2"/>
      <c r="Y191" s="2"/>
      <c r="Z191" s="2"/>
    </row>
    <row r="192" spans="21:26" ht="14.15" customHeight="1" x14ac:dyDescent="0.3">
      <c r="U192" s="2"/>
      <c r="V192" s="2"/>
      <c r="W192" s="2"/>
      <c r="X192" s="2"/>
      <c r="Y192" s="2"/>
      <c r="Z192" s="2"/>
    </row>
    <row r="193" spans="21:26" ht="14.15" customHeight="1" x14ac:dyDescent="0.3">
      <c r="U193" s="2"/>
      <c r="V193" s="2"/>
      <c r="W193" s="2"/>
      <c r="X193" s="2"/>
      <c r="Y193" s="2"/>
      <c r="Z193" s="2"/>
    </row>
    <row r="194" spans="21:26" ht="14.15" customHeight="1" x14ac:dyDescent="0.3">
      <c r="U194" s="2"/>
      <c r="V194" s="2"/>
      <c r="W194" s="2"/>
      <c r="X194" s="2"/>
      <c r="Y194" s="2"/>
      <c r="Z194" s="2"/>
    </row>
    <row r="195" spans="21:26" ht="14.15" customHeight="1" x14ac:dyDescent="0.3">
      <c r="U195" s="2"/>
      <c r="V195" s="2"/>
      <c r="W195" s="2"/>
      <c r="X195" s="2"/>
      <c r="Y195" s="2"/>
      <c r="Z195" s="2"/>
    </row>
    <row r="196" spans="21:26" ht="14.15" customHeight="1" x14ac:dyDescent="0.3">
      <c r="U196" s="2"/>
      <c r="V196" s="2"/>
      <c r="W196" s="2"/>
      <c r="X196" s="2"/>
      <c r="Y196" s="2"/>
      <c r="Z196" s="2"/>
    </row>
    <row r="197" spans="21:26" ht="14.15" customHeight="1" x14ac:dyDescent="0.3">
      <c r="U197" s="2"/>
      <c r="V197" s="2"/>
      <c r="W197" s="2"/>
      <c r="X197" s="2"/>
      <c r="Y197" s="2"/>
      <c r="Z197" s="2"/>
    </row>
    <row r="198" spans="21:26" ht="14.15" customHeight="1" x14ac:dyDescent="0.3">
      <c r="U198" s="2"/>
      <c r="V198" s="2"/>
      <c r="W198" s="2"/>
      <c r="X198" s="2"/>
      <c r="Y198" s="2"/>
      <c r="Z198" s="2"/>
    </row>
    <row r="199" spans="21:26" ht="14.15" customHeight="1" x14ac:dyDescent="0.3">
      <c r="U199" s="2"/>
      <c r="V199" s="2"/>
      <c r="W199" s="2"/>
      <c r="X199" s="2"/>
      <c r="Y199" s="2"/>
      <c r="Z199" s="2"/>
    </row>
    <row r="200" spans="21:26" ht="14.15" customHeight="1" x14ac:dyDescent="0.3">
      <c r="U200" s="2"/>
      <c r="V200" s="2"/>
      <c r="W200" s="2"/>
      <c r="X200" s="2"/>
      <c r="Y200" s="2"/>
      <c r="Z200" s="2"/>
    </row>
    <row r="201" spans="21:26" ht="14.15" customHeight="1" x14ac:dyDescent="0.3">
      <c r="U201" s="2"/>
      <c r="V201" s="2"/>
      <c r="W201" s="2"/>
      <c r="X201" s="2"/>
      <c r="Y201" s="2"/>
      <c r="Z201" s="2"/>
    </row>
    <row r="202" spans="21:26" ht="14.15" customHeight="1" x14ac:dyDescent="0.3">
      <c r="U202" s="2"/>
      <c r="V202" s="2"/>
      <c r="W202" s="2"/>
      <c r="X202" s="2"/>
      <c r="Y202" s="2"/>
      <c r="Z202" s="2"/>
    </row>
    <row r="203" spans="21:26" ht="14.15" customHeight="1" x14ac:dyDescent="0.3">
      <c r="U203" s="2"/>
      <c r="V203" s="2"/>
      <c r="W203" s="2"/>
      <c r="X203" s="2"/>
      <c r="Y203" s="2"/>
      <c r="Z203" s="2"/>
    </row>
    <row r="204" spans="21:26" ht="14.15" customHeight="1" x14ac:dyDescent="0.3">
      <c r="U204" s="2"/>
      <c r="V204" s="2"/>
      <c r="W204" s="2"/>
      <c r="X204" s="2"/>
      <c r="Y204" s="2"/>
      <c r="Z204" s="2"/>
    </row>
    <row r="205" spans="21:26" ht="14.15" customHeight="1" x14ac:dyDescent="0.3">
      <c r="U205" s="2"/>
      <c r="V205" s="2"/>
      <c r="W205" s="2"/>
      <c r="X205" s="2"/>
      <c r="Y205" s="2"/>
      <c r="Z205" s="2"/>
    </row>
    <row r="206" spans="21:26" ht="14.15" customHeight="1" x14ac:dyDescent="0.3">
      <c r="U206" s="2"/>
      <c r="V206" s="2"/>
      <c r="W206" s="2"/>
      <c r="X206" s="2"/>
      <c r="Y206" s="2"/>
      <c r="Z206" s="2"/>
    </row>
    <row r="207" spans="21:26" ht="14.15" customHeight="1" x14ac:dyDescent="0.3">
      <c r="U207" s="2"/>
      <c r="V207" s="2"/>
      <c r="W207" s="2"/>
      <c r="X207" s="2"/>
      <c r="Y207" s="2"/>
      <c r="Z207" s="2"/>
    </row>
    <row r="208" spans="21:26" ht="14.15" customHeight="1" x14ac:dyDescent="0.3">
      <c r="U208" s="2"/>
      <c r="V208" s="2"/>
      <c r="W208" s="2"/>
      <c r="X208" s="2"/>
      <c r="Y208" s="2"/>
      <c r="Z208" s="2"/>
    </row>
    <row r="209" spans="21:26" ht="14.15" customHeight="1" x14ac:dyDescent="0.3">
      <c r="U209" s="2"/>
      <c r="V209" s="2"/>
      <c r="W209" s="2"/>
      <c r="X209" s="2"/>
      <c r="Y209" s="2"/>
      <c r="Z209" s="2"/>
    </row>
    <row r="210" spans="21:26" ht="14.15" customHeight="1" x14ac:dyDescent="0.3">
      <c r="U210" s="2"/>
      <c r="V210" s="2"/>
      <c r="W210" s="2"/>
      <c r="X210" s="2"/>
      <c r="Y210" s="2"/>
      <c r="Z210" s="2"/>
    </row>
    <row r="211" spans="21:26" ht="14.15" customHeight="1" x14ac:dyDescent="0.3">
      <c r="U211" s="2"/>
      <c r="V211" s="2"/>
      <c r="W211" s="2"/>
      <c r="X211" s="2"/>
      <c r="Y211" s="2"/>
      <c r="Z211" s="2"/>
    </row>
    <row r="212" spans="21:26" ht="14.15" customHeight="1" x14ac:dyDescent="0.3">
      <c r="U212" s="2"/>
      <c r="V212" s="2"/>
      <c r="W212" s="2"/>
      <c r="X212" s="2"/>
      <c r="Y212" s="2"/>
      <c r="Z212" s="2"/>
    </row>
    <row r="213" spans="21:26" ht="14.15" customHeight="1" x14ac:dyDescent="0.3">
      <c r="U213" s="2"/>
      <c r="V213" s="2"/>
      <c r="W213" s="2"/>
      <c r="X213" s="2"/>
      <c r="Y213" s="2"/>
      <c r="Z213" s="2"/>
    </row>
    <row r="214" spans="21:26" ht="14.15" customHeight="1" x14ac:dyDescent="0.3">
      <c r="U214" s="2"/>
      <c r="V214" s="2"/>
      <c r="W214" s="2"/>
      <c r="X214" s="2"/>
      <c r="Y214" s="2"/>
      <c r="Z214" s="2"/>
    </row>
    <row r="215" spans="21:26" ht="14.15" customHeight="1" x14ac:dyDescent="0.3">
      <c r="U215" s="2"/>
      <c r="V215" s="2"/>
      <c r="W215" s="2"/>
      <c r="X215" s="2"/>
      <c r="Y215" s="2"/>
      <c r="Z215" s="2"/>
    </row>
    <row r="216" spans="21:26" ht="14.15" customHeight="1" x14ac:dyDescent="0.3">
      <c r="U216" s="2"/>
      <c r="V216" s="2"/>
      <c r="W216" s="2"/>
      <c r="X216" s="2"/>
      <c r="Y216" s="2"/>
      <c r="Z216" s="2"/>
    </row>
    <row r="217" spans="21:26" ht="14.15" customHeight="1" x14ac:dyDescent="0.3">
      <c r="U217" s="2"/>
      <c r="V217" s="2"/>
      <c r="W217" s="2"/>
      <c r="X217" s="2"/>
      <c r="Y217" s="2"/>
      <c r="Z217" s="2"/>
    </row>
    <row r="218" spans="21:26" ht="14.15" customHeight="1" x14ac:dyDescent="0.3">
      <c r="U218" s="2"/>
      <c r="V218" s="2"/>
      <c r="W218" s="2"/>
      <c r="X218" s="2"/>
      <c r="Y218" s="2"/>
      <c r="Z218" s="2"/>
    </row>
    <row r="219" spans="21:26" ht="14.15" customHeight="1" x14ac:dyDescent="0.3">
      <c r="U219" s="2"/>
      <c r="V219" s="2"/>
      <c r="W219" s="2"/>
      <c r="X219" s="2"/>
      <c r="Y219" s="2"/>
      <c r="Z219" s="2"/>
    </row>
    <row r="220" spans="21:26" ht="14.15" customHeight="1" x14ac:dyDescent="0.3">
      <c r="U220" s="2"/>
      <c r="V220" s="2"/>
      <c r="W220" s="2"/>
      <c r="X220" s="2"/>
      <c r="Y220" s="2"/>
      <c r="Z220" s="2"/>
    </row>
    <row r="221" spans="21:26" ht="14.15" customHeight="1" x14ac:dyDescent="0.3">
      <c r="U221" s="2"/>
      <c r="V221" s="2"/>
      <c r="W221" s="2"/>
      <c r="X221" s="2"/>
      <c r="Y221" s="2"/>
      <c r="Z221" s="2"/>
    </row>
    <row r="222" spans="21:26" ht="14.15" customHeight="1" x14ac:dyDescent="0.3">
      <c r="U222" s="2"/>
      <c r="V222" s="2"/>
      <c r="W222" s="2"/>
      <c r="X222" s="2"/>
      <c r="Y222" s="2"/>
      <c r="Z222" s="2"/>
    </row>
    <row r="223" spans="21:26" ht="14.15" customHeight="1" x14ac:dyDescent="0.3">
      <c r="U223" s="2"/>
      <c r="V223" s="2"/>
      <c r="W223" s="2"/>
      <c r="X223" s="2"/>
      <c r="Y223" s="2"/>
      <c r="Z223" s="2"/>
    </row>
    <row r="224" spans="21:26" ht="14.15" customHeight="1" x14ac:dyDescent="0.3">
      <c r="U224" s="2"/>
      <c r="V224" s="2"/>
      <c r="W224" s="2"/>
      <c r="X224" s="2"/>
      <c r="Y224" s="2"/>
      <c r="Z224" s="2"/>
    </row>
    <row r="225" spans="21:26" ht="14.15" customHeight="1" x14ac:dyDescent="0.3">
      <c r="U225" s="2"/>
      <c r="V225" s="2"/>
      <c r="W225" s="2"/>
      <c r="X225" s="2"/>
      <c r="Y225" s="2"/>
      <c r="Z225" s="2"/>
    </row>
    <row r="226" spans="21:26" ht="14.15" customHeight="1" x14ac:dyDescent="0.3">
      <c r="U226" s="2"/>
      <c r="V226" s="2"/>
      <c r="W226" s="2"/>
      <c r="X226" s="2"/>
      <c r="Y226" s="2"/>
      <c r="Z226" s="2"/>
    </row>
    <row r="227" spans="21:26" ht="14.15" customHeight="1" x14ac:dyDescent="0.3">
      <c r="U227" s="2"/>
      <c r="V227" s="2"/>
      <c r="W227" s="2"/>
      <c r="X227" s="2"/>
      <c r="Y227" s="2"/>
      <c r="Z227" s="2"/>
    </row>
    <row r="228" spans="21:26" ht="14.15" customHeight="1" x14ac:dyDescent="0.3">
      <c r="U228" s="2"/>
      <c r="V228" s="2"/>
      <c r="W228" s="2"/>
      <c r="X228" s="2"/>
      <c r="Y228" s="2"/>
      <c r="Z228" s="2"/>
    </row>
    <row r="229" spans="21:26" ht="14.15" customHeight="1" x14ac:dyDescent="0.3">
      <c r="U229" s="2"/>
      <c r="V229" s="2"/>
      <c r="W229" s="2"/>
      <c r="X229" s="2"/>
      <c r="Y229" s="2"/>
      <c r="Z229" s="2"/>
    </row>
    <row r="230" spans="21:26" ht="14.15" customHeight="1" x14ac:dyDescent="0.3">
      <c r="U230" s="2"/>
      <c r="V230" s="2"/>
      <c r="W230" s="2"/>
      <c r="X230" s="2"/>
      <c r="Y230" s="2"/>
      <c r="Z230" s="2"/>
    </row>
    <row r="231" spans="21:26" ht="14.15" customHeight="1" x14ac:dyDescent="0.3">
      <c r="U231" s="2"/>
      <c r="V231" s="2"/>
      <c r="W231" s="2"/>
      <c r="X231" s="2"/>
      <c r="Y231" s="2"/>
      <c r="Z231" s="2"/>
    </row>
    <row r="232" spans="21:26" ht="14.15" customHeight="1" x14ac:dyDescent="0.3">
      <c r="U232" s="2"/>
      <c r="V232" s="2"/>
      <c r="W232" s="2"/>
      <c r="X232" s="2"/>
      <c r="Y232" s="2"/>
      <c r="Z232" s="2"/>
    </row>
    <row r="233" spans="21:26" ht="14.15" customHeight="1" x14ac:dyDescent="0.3">
      <c r="U233" s="2"/>
      <c r="V233" s="2"/>
      <c r="W233" s="2"/>
      <c r="X233" s="2"/>
      <c r="Y233" s="2"/>
      <c r="Z233" s="2"/>
    </row>
    <row r="234" spans="21:26" ht="14.15" customHeight="1" x14ac:dyDescent="0.3">
      <c r="U234" s="2"/>
      <c r="V234" s="2"/>
      <c r="W234" s="2"/>
      <c r="X234" s="2"/>
      <c r="Y234" s="2"/>
      <c r="Z234" s="2"/>
    </row>
    <row r="235" spans="21:26" ht="14.15" customHeight="1" x14ac:dyDescent="0.3">
      <c r="U235" s="2"/>
      <c r="V235" s="2"/>
      <c r="W235" s="2"/>
      <c r="X235" s="2"/>
      <c r="Y235" s="2"/>
      <c r="Z235" s="2"/>
    </row>
    <row r="236" spans="21:26" ht="14.15" customHeight="1" x14ac:dyDescent="0.3">
      <c r="U236" s="2"/>
      <c r="V236" s="2"/>
      <c r="W236" s="2"/>
      <c r="X236" s="2"/>
      <c r="Y236" s="2"/>
      <c r="Z236" s="2"/>
    </row>
    <row r="237" spans="21:26" ht="14.15" customHeight="1" x14ac:dyDescent="0.3">
      <c r="U237" s="2"/>
      <c r="V237" s="2"/>
      <c r="W237" s="2"/>
      <c r="X237" s="2"/>
      <c r="Y237" s="2"/>
      <c r="Z237" s="2"/>
    </row>
    <row r="238" spans="21:26" ht="14.15" customHeight="1" x14ac:dyDescent="0.3">
      <c r="U238" s="2"/>
      <c r="V238" s="2"/>
      <c r="W238" s="2"/>
      <c r="X238" s="2"/>
      <c r="Y238" s="2"/>
      <c r="Z238" s="2"/>
    </row>
    <row r="239" spans="21:26" ht="14.15" customHeight="1" x14ac:dyDescent="0.3">
      <c r="U239" s="2"/>
      <c r="V239" s="2"/>
      <c r="W239" s="2"/>
      <c r="X239" s="2"/>
      <c r="Y239" s="2"/>
      <c r="Z239" s="2"/>
    </row>
    <row r="240" spans="21:26" ht="14.15" customHeight="1" x14ac:dyDescent="0.3">
      <c r="U240" s="2"/>
      <c r="V240" s="2"/>
      <c r="W240" s="2"/>
      <c r="X240" s="2"/>
      <c r="Y240" s="2"/>
      <c r="Z240" s="2"/>
    </row>
    <row r="241" spans="21:26" ht="14.15" customHeight="1" x14ac:dyDescent="0.3">
      <c r="U241" s="2"/>
      <c r="V241" s="2"/>
      <c r="W241" s="2"/>
      <c r="X241" s="2"/>
      <c r="Y241" s="2"/>
      <c r="Z241" s="2"/>
    </row>
    <row r="242" spans="21:26" ht="14.15" customHeight="1" x14ac:dyDescent="0.3">
      <c r="U242" s="2"/>
      <c r="V242" s="2"/>
      <c r="W242" s="2"/>
      <c r="X242" s="2"/>
      <c r="Y242" s="2"/>
      <c r="Z242" s="2"/>
    </row>
    <row r="243" spans="21:26" ht="14.15" customHeight="1" x14ac:dyDescent="0.3">
      <c r="U243" s="2"/>
      <c r="V243" s="2"/>
      <c r="W243" s="2"/>
      <c r="X243" s="2"/>
      <c r="Y243" s="2"/>
      <c r="Z243" s="2"/>
    </row>
    <row r="244" spans="21:26" ht="14.15" customHeight="1" x14ac:dyDescent="0.3">
      <c r="U244" s="2"/>
      <c r="V244" s="2"/>
      <c r="W244" s="2"/>
      <c r="X244" s="2"/>
      <c r="Y244" s="2"/>
      <c r="Z244" s="2"/>
    </row>
    <row r="245" spans="21:26" ht="14.15" customHeight="1" x14ac:dyDescent="0.3">
      <c r="U245" s="2"/>
      <c r="V245" s="2"/>
      <c r="W245" s="2"/>
      <c r="X245" s="2"/>
      <c r="Y245" s="2"/>
      <c r="Z245" s="2"/>
    </row>
    <row r="246" spans="21:26" ht="14.15" customHeight="1" x14ac:dyDescent="0.3">
      <c r="U246" s="2"/>
      <c r="V246" s="2"/>
      <c r="W246" s="2"/>
      <c r="X246" s="2"/>
      <c r="Y246" s="2"/>
      <c r="Z246" s="2"/>
    </row>
    <row r="247" spans="21:26" ht="14.15" customHeight="1" x14ac:dyDescent="0.3">
      <c r="U247" s="2"/>
      <c r="V247" s="2"/>
      <c r="W247" s="2"/>
      <c r="X247" s="2"/>
      <c r="Y247" s="2"/>
      <c r="Z247" s="2"/>
    </row>
    <row r="248" spans="21:26" ht="14.15" customHeight="1" x14ac:dyDescent="0.3">
      <c r="U248" s="2"/>
      <c r="V248" s="2"/>
      <c r="W248" s="2"/>
      <c r="X248" s="2"/>
      <c r="Y248" s="2"/>
      <c r="Z248" s="2"/>
    </row>
    <row r="249" spans="21:26" ht="14.15" customHeight="1" x14ac:dyDescent="0.3">
      <c r="U249" s="2"/>
      <c r="V249" s="2"/>
      <c r="W249" s="2"/>
      <c r="X249" s="2"/>
      <c r="Y249" s="2"/>
      <c r="Z249" s="2"/>
    </row>
    <row r="250" spans="21:26" ht="14.15" customHeight="1" x14ac:dyDescent="0.3">
      <c r="U250" s="2"/>
      <c r="V250" s="2"/>
      <c r="W250" s="2"/>
      <c r="X250" s="2"/>
      <c r="Y250" s="2"/>
      <c r="Z250" s="2"/>
    </row>
    <row r="251" spans="21:26" ht="14.15" customHeight="1" x14ac:dyDescent="0.3">
      <c r="U251" s="2"/>
      <c r="V251" s="2"/>
      <c r="W251" s="2"/>
      <c r="X251" s="2"/>
      <c r="Y251" s="2"/>
      <c r="Z251" s="2"/>
    </row>
    <row r="252" spans="21:26" ht="14.15" customHeight="1" x14ac:dyDescent="0.3">
      <c r="U252" s="2"/>
      <c r="V252" s="2"/>
      <c r="W252" s="2"/>
      <c r="X252" s="2"/>
      <c r="Y252" s="2"/>
      <c r="Z252" s="2"/>
    </row>
    <row r="253" spans="21:26" ht="14.15" customHeight="1" x14ac:dyDescent="0.3">
      <c r="U253" s="2"/>
      <c r="V253" s="2"/>
      <c r="W253" s="2"/>
      <c r="X253" s="2"/>
      <c r="Y253" s="2"/>
      <c r="Z253" s="2"/>
    </row>
    <row r="254" spans="21:26" ht="14.15" customHeight="1" x14ac:dyDescent="0.3">
      <c r="U254" s="2"/>
      <c r="V254" s="2"/>
      <c r="W254" s="2"/>
      <c r="X254" s="2"/>
      <c r="Y254" s="2"/>
      <c r="Z254" s="2"/>
    </row>
    <row r="255" spans="21:26" ht="14.15" customHeight="1" x14ac:dyDescent="0.3">
      <c r="U255" s="2"/>
      <c r="V255" s="2"/>
      <c r="W255" s="2"/>
      <c r="X255" s="2"/>
      <c r="Y255" s="2"/>
      <c r="Z255" s="2"/>
    </row>
    <row r="256" spans="21:26" ht="14.15" customHeight="1" x14ac:dyDescent="0.3">
      <c r="U256" s="2"/>
      <c r="V256" s="2"/>
      <c r="W256" s="2"/>
      <c r="X256" s="2"/>
      <c r="Y256" s="2"/>
      <c r="Z256" s="2"/>
    </row>
    <row r="257" spans="3:26" ht="14.15" customHeight="1" x14ac:dyDescent="0.3">
      <c r="U257" s="2"/>
      <c r="V257" s="2"/>
      <c r="W257" s="2"/>
      <c r="X257" s="2"/>
      <c r="Y257" s="2"/>
      <c r="Z257" s="2"/>
    </row>
    <row r="258" spans="3:26" ht="14.15" customHeight="1" x14ac:dyDescent="0.3">
      <c r="U258" s="2"/>
      <c r="V258" s="2"/>
      <c r="W258" s="2"/>
      <c r="X258" s="2"/>
      <c r="Y258" s="2"/>
      <c r="Z258" s="2"/>
    </row>
    <row r="259" spans="3:26" ht="14.15" customHeight="1" x14ac:dyDescent="0.3">
      <c r="U259" s="2"/>
      <c r="V259" s="2"/>
      <c r="W259" s="2"/>
      <c r="X259" s="2"/>
      <c r="Y259" s="2"/>
      <c r="Z259" s="2"/>
    </row>
    <row r="260" spans="3:26" ht="14.15" customHeight="1" x14ac:dyDescent="0.3">
      <c r="U260" s="2"/>
      <c r="V260" s="2"/>
      <c r="W260" s="2"/>
      <c r="X260" s="2"/>
      <c r="Y260" s="2"/>
      <c r="Z260" s="2"/>
    </row>
    <row r="261" spans="3:26" ht="14.15" customHeight="1" x14ac:dyDescent="0.3">
      <c r="U261" s="2"/>
      <c r="V261" s="2"/>
      <c r="W261" s="2"/>
      <c r="X261" s="2"/>
      <c r="Y261" s="2"/>
      <c r="Z261" s="2"/>
    </row>
    <row r="262" spans="3:26" ht="14.15" customHeight="1" x14ac:dyDescent="0.3">
      <c r="U262" s="2"/>
      <c r="V262" s="2"/>
      <c r="W262" s="2"/>
      <c r="X262" s="2"/>
      <c r="Y262" s="2"/>
      <c r="Z262" s="2"/>
    </row>
    <row r="263" spans="3:26" ht="14.15" customHeight="1" x14ac:dyDescent="0.3">
      <c r="U263" s="2"/>
      <c r="V263" s="2"/>
      <c r="W263" s="2"/>
      <c r="X263" s="2"/>
      <c r="Y263" s="2"/>
      <c r="Z263" s="2"/>
    </row>
    <row r="264" spans="3:26" ht="14.15" customHeight="1" x14ac:dyDescent="0.3">
      <c r="U264" s="2"/>
      <c r="V264" s="2"/>
      <c r="W264" s="2"/>
      <c r="X264" s="2"/>
      <c r="Y264" s="2"/>
      <c r="Z264" s="2"/>
    </row>
    <row r="265" spans="3:26" ht="14.15" customHeight="1" x14ac:dyDescent="0.3">
      <c r="U265" s="2"/>
      <c r="V265" s="2"/>
      <c r="W265" s="2"/>
      <c r="X265" s="2"/>
      <c r="Y265" s="2"/>
      <c r="Z265" s="2"/>
    </row>
    <row r="266" spans="3:26" ht="14.15" customHeight="1" x14ac:dyDescent="0.3">
      <c r="U266" s="2"/>
      <c r="V266" s="2"/>
      <c r="W266" s="2"/>
      <c r="X266" s="2"/>
      <c r="Y266" s="2"/>
      <c r="Z266" s="2"/>
    </row>
    <row r="267" spans="3:26" ht="14.15" customHeight="1" x14ac:dyDescent="0.3">
      <c r="U267" s="2"/>
      <c r="V267" s="2"/>
      <c r="W267" s="2"/>
      <c r="X267" s="2"/>
      <c r="Y267" s="2"/>
      <c r="Z267" s="2"/>
    </row>
    <row r="268" spans="3:26" ht="14.15" customHeight="1" x14ac:dyDescent="0.3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15" customHeight="1" x14ac:dyDescent="0.3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15" customHeight="1" x14ac:dyDescent="0.3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</sheetData>
  <sheetProtection algorithmName="SHA-512" hashValue="xQ0pj9Z0PTKrXOzGEqrOG45J792Vs1hHudRxhLVOAQB9W05v52YR7pIUt4rLVu3gRzvDQK8MhblX2heEKUny+A==" saltValue="UwPGbl03Q+98a8hhMJSmAQ==" spinCount="100000" sheet="1" objects="1" scenarios="1"/>
  <mergeCells count="115">
    <mergeCell ref="K124:M124"/>
    <mergeCell ref="O124:Q124"/>
    <mergeCell ref="S124:U124"/>
    <mergeCell ref="C123:E123"/>
    <mergeCell ref="C124:E124"/>
    <mergeCell ref="S123:U123"/>
    <mergeCell ref="O123:Q123"/>
    <mergeCell ref="K123:M123"/>
    <mergeCell ref="G123:I123"/>
    <mergeCell ref="G124:I124"/>
    <mergeCell ref="G18:K18"/>
    <mergeCell ref="Q18:U18"/>
    <mergeCell ref="G20:K20"/>
    <mergeCell ref="Q20:U20"/>
    <mergeCell ref="E26:G26"/>
    <mergeCell ref="E28:I28"/>
    <mergeCell ref="M26:U26"/>
    <mergeCell ref="Q28:U28"/>
    <mergeCell ref="Z40:Z58"/>
    <mergeCell ref="Q56:T56"/>
    <mergeCell ref="Q58:T58"/>
    <mergeCell ref="K56:N56"/>
    <mergeCell ref="Q42:T42"/>
    <mergeCell ref="S6:U6"/>
    <mergeCell ref="E32:M32"/>
    <mergeCell ref="I6:K6"/>
    <mergeCell ref="G14:I14"/>
    <mergeCell ref="S14:U14"/>
    <mergeCell ref="Q40:T40"/>
    <mergeCell ref="Q46:T46"/>
    <mergeCell ref="Q48:T48"/>
    <mergeCell ref="G16:K16"/>
    <mergeCell ref="O16:S16"/>
    <mergeCell ref="Q44:U44"/>
    <mergeCell ref="K40:N40"/>
    <mergeCell ref="K42:N42"/>
    <mergeCell ref="K44:N44"/>
    <mergeCell ref="K46:N46"/>
    <mergeCell ref="K48:N48"/>
    <mergeCell ref="E30:M30"/>
    <mergeCell ref="S30:U30"/>
    <mergeCell ref="S32:U32"/>
    <mergeCell ref="C38:I38"/>
    <mergeCell ref="K38:U38"/>
    <mergeCell ref="G24:O24"/>
    <mergeCell ref="G10:U10"/>
    <mergeCell ref="G12:U12"/>
    <mergeCell ref="T121:U121"/>
    <mergeCell ref="Q99:T99"/>
    <mergeCell ref="K107:N107"/>
    <mergeCell ref="C101:H101"/>
    <mergeCell ref="C103:H103"/>
    <mergeCell ref="C107:H107"/>
    <mergeCell ref="P113:Q113"/>
    <mergeCell ref="P115:Q115"/>
    <mergeCell ref="C105:H105"/>
    <mergeCell ref="K105:N105"/>
    <mergeCell ref="Q105:T105"/>
    <mergeCell ref="C109:H109"/>
    <mergeCell ref="K109:N109"/>
    <mergeCell ref="Q109:T109"/>
    <mergeCell ref="G121:I121"/>
    <mergeCell ref="S119:U119"/>
    <mergeCell ref="E115:I115"/>
    <mergeCell ref="P111:Q111"/>
    <mergeCell ref="Q107:T107"/>
    <mergeCell ref="N121:O121"/>
    <mergeCell ref="Q121:R121"/>
    <mergeCell ref="C99:H99"/>
    <mergeCell ref="K99:N99"/>
    <mergeCell ref="Q101:T101"/>
    <mergeCell ref="Q103:T103"/>
    <mergeCell ref="M90:S90"/>
    <mergeCell ref="K58:N58"/>
    <mergeCell ref="Q60:T60"/>
    <mergeCell ref="Q62:T62"/>
    <mergeCell ref="K60:N60"/>
    <mergeCell ref="K62:N62"/>
    <mergeCell ref="M87:S87"/>
    <mergeCell ref="M92:S92"/>
    <mergeCell ref="M89:S89"/>
    <mergeCell ref="M94:S94"/>
    <mergeCell ref="K101:N101"/>
    <mergeCell ref="M79:S79"/>
    <mergeCell ref="M81:S81"/>
    <mergeCell ref="M83:S83"/>
    <mergeCell ref="K103:N103"/>
    <mergeCell ref="M67:S67"/>
    <mergeCell ref="M69:S69"/>
    <mergeCell ref="M71:S71"/>
    <mergeCell ref="M73:S73"/>
    <mergeCell ref="C94:J94"/>
    <mergeCell ref="AG36:AH36"/>
    <mergeCell ref="Z36:Z37"/>
    <mergeCell ref="Q52:T52"/>
    <mergeCell ref="Q54:T54"/>
    <mergeCell ref="K50:N50"/>
    <mergeCell ref="K52:N52"/>
    <mergeCell ref="K54:N54"/>
    <mergeCell ref="Q50:T50"/>
    <mergeCell ref="C67:I67"/>
    <mergeCell ref="C87:I87"/>
    <mergeCell ref="C89:I89"/>
    <mergeCell ref="C92:I92"/>
    <mergeCell ref="C69:I69"/>
    <mergeCell ref="C75:I75"/>
    <mergeCell ref="M75:S75"/>
    <mergeCell ref="M77:S77"/>
    <mergeCell ref="C71:I71"/>
    <mergeCell ref="C73:I73"/>
    <mergeCell ref="C77:I77"/>
    <mergeCell ref="C79:I79"/>
    <mergeCell ref="C81:I81"/>
    <mergeCell ref="C83:I83"/>
    <mergeCell ref="C90:J90"/>
  </mergeCells>
  <conditionalFormatting sqref="E36">
    <cfRule type="expression" dxfId="164" priority="101">
      <formula>$E$36="Definir riesgo"</formula>
    </cfRule>
  </conditionalFormatting>
  <conditionalFormatting sqref="I36">
    <cfRule type="expression" dxfId="163" priority="33">
      <formula>$I$36="Definir"</formula>
    </cfRule>
  </conditionalFormatting>
  <conditionalFormatting sqref="I99">
    <cfRule type="expression" dxfId="162" priority="127">
      <formula>I99="no"</formula>
    </cfRule>
    <cfRule type="expression" dxfId="161" priority="126">
      <formula>I99="no"</formula>
    </cfRule>
  </conditionalFormatting>
  <conditionalFormatting sqref="I101">
    <cfRule type="expression" dxfId="160" priority="124">
      <formula>I101="no"</formula>
    </cfRule>
    <cfRule type="expression" dxfId="159" priority="125">
      <formula>I101="no"</formula>
    </cfRule>
  </conditionalFormatting>
  <conditionalFormatting sqref="I103">
    <cfRule type="expression" dxfId="158" priority="122">
      <formula>I103="no"</formula>
    </cfRule>
    <cfRule type="expression" dxfId="157" priority="123">
      <formula>I103="no"</formula>
    </cfRule>
  </conditionalFormatting>
  <conditionalFormatting sqref="I105">
    <cfRule type="expression" dxfId="156" priority="63">
      <formula>I105="no"</formula>
    </cfRule>
    <cfRule type="expression" dxfId="155" priority="64">
      <formula>I105="no"</formula>
    </cfRule>
  </conditionalFormatting>
  <conditionalFormatting sqref="I107">
    <cfRule type="expression" dxfId="154" priority="121">
      <formula>I107="no"</formula>
    </cfRule>
    <cfRule type="expression" dxfId="153" priority="120">
      <formula>I107="no"</formula>
    </cfRule>
  </conditionalFormatting>
  <conditionalFormatting sqref="I109">
    <cfRule type="expression" dxfId="152" priority="56">
      <formula>I109="no"</formula>
    </cfRule>
    <cfRule type="expression" dxfId="151" priority="55">
      <formula>I109="no"</formula>
    </cfRule>
  </conditionalFormatting>
  <conditionalFormatting sqref="I40:J40">
    <cfRule type="expression" dxfId="150" priority="347">
      <formula>I40="no"</formula>
    </cfRule>
    <cfRule type="expression" dxfId="149" priority="346">
      <formula>I40="no"</formula>
    </cfRule>
  </conditionalFormatting>
  <conditionalFormatting sqref="I42:J42">
    <cfRule type="expression" dxfId="148" priority="345">
      <formula>I42="no"</formula>
    </cfRule>
    <cfRule type="expression" dxfId="147" priority="344">
      <formula>I42="no"</formula>
    </cfRule>
  </conditionalFormatting>
  <conditionalFormatting sqref="I44:J44">
    <cfRule type="expression" dxfId="146" priority="342">
      <formula>I44="no"</formula>
    </cfRule>
    <cfRule type="expression" dxfId="145" priority="343">
      <formula>I44="no"</formula>
    </cfRule>
  </conditionalFormatting>
  <conditionalFormatting sqref="I46:J46">
    <cfRule type="expression" dxfId="144" priority="341">
      <formula>I46="no"</formula>
    </cfRule>
    <cfRule type="expression" dxfId="143" priority="340">
      <formula>I46="no"</formula>
    </cfRule>
  </conditionalFormatting>
  <conditionalFormatting sqref="I48:J48">
    <cfRule type="expression" dxfId="142" priority="339">
      <formula>I48="no"</formula>
    </cfRule>
    <cfRule type="expression" dxfId="141" priority="338">
      <formula>I48="no"</formula>
    </cfRule>
  </conditionalFormatting>
  <conditionalFormatting sqref="I50:J50">
    <cfRule type="expression" dxfId="140" priority="337">
      <formula>I50="no"</formula>
    </cfRule>
    <cfRule type="expression" dxfId="139" priority="336">
      <formula>I50="no"</formula>
    </cfRule>
  </conditionalFormatting>
  <conditionalFormatting sqref="I52:J52">
    <cfRule type="expression" dxfId="138" priority="335">
      <formula>I52="no"</formula>
    </cfRule>
    <cfRule type="expression" dxfId="137" priority="334">
      <formula>I52="no"</formula>
    </cfRule>
  </conditionalFormatting>
  <conditionalFormatting sqref="I54:J54">
    <cfRule type="expression" dxfId="136" priority="332">
      <formula>I54="no"</formula>
    </cfRule>
    <cfRule type="expression" dxfId="135" priority="333">
      <formula>I54="no"</formula>
    </cfRule>
  </conditionalFormatting>
  <conditionalFormatting sqref="I56:J56">
    <cfRule type="expression" dxfId="134" priority="331">
      <formula>I56="no"</formula>
    </cfRule>
    <cfRule type="expression" dxfId="133" priority="330">
      <formula>I56="no"</formula>
    </cfRule>
  </conditionalFormatting>
  <conditionalFormatting sqref="I58:J58">
    <cfRule type="expression" dxfId="132" priority="329">
      <formula>I58="no"</formula>
    </cfRule>
    <cfRule type="expression" dxfId="131" priority="328">
      <formula>I58="no"</formula>
    </cfRule>
  </conditionalFormatting>
  <conditionalFormatting sqref="I60:J60">
    <cfRule type="expression" dxfId="130" priority="327">
      <formula>I60="no"</formula>
    </cfRule>
    <cfRule type="expression" dxfId="129" priority="326">
      <formula>I60="no"</formula>
    </cfRule>
  </conditionalFormatting>
  <conditionalFormatting sqref="K67">
    <cfRule type="expression" dxfId="128" priority="325">
      <formula>K67="no"</formula>
    </cfRule>
    <cfRule type="expression" dxfId="127" priority="324">
      <formula>K67="no"</formula>
    </cfRule>
  </conditionalFormatting>
  <conditionalFormatting sqref="K69">
    <cfRule type="expression" dxfId="126" priority="185">
      <formula>K69="no"</formula>
    </cfRule>
    <cfRule type="expression" dxfId="125" priority="184">
      <formula>K69="no"</formula>
    </cfRule>
  </conditionalFormatting>
  <conditionalFormatting sqref="K71">
    <cfRule type="expression" dxfId="124" priority="182">
      <formula>K71="no"</formula>
    </cfRule>
    <cfRule type="expression" dxfId="123" priority="183">
      <formula>K71="no"</formula>
    </cfRule>
  </conditionalFormatting>
  <conditionalFormatting sqref="K73">
    <cfRule type="expression" dxfId="122" priority="181">
      <formula>K73="no"</formula>
    </cfRule>
    <cfRule type="expression" dxfId="121" priority="180">
      <formula>K73="no"</formula>
    </cfRule>
  </conditionalFormatting>
  <conditionalFormatting sqref="K75">
    <cfRule type="expression" dxfId="120" priority="37">
      <formula>K75="no"</formula>
    </cfRule>
    <cfRule type="expression" dxfId="119" priority="38">
      <formula>K75="no"</formula>
    </cfRule>
  </conditionalFormatting>
  <conditionalFormatting sqref="K77">
    <cfRule type="expression" dxfId="118" priority="179">
      <formula>K77="no"</formula>
    </cfRule>
    <cfRule type="expression" dxfId="117" priority="178">
      <formula>K77="no"</formula>
    </cfRule>
  </conditionalFormatting>
  <conditionalFormatting sqref="K79">
    <cfRule type="expression" dxfId="116" priority="177">
      <formula>K79="no"</formula>
    </cfRule>
    <cfRule type="expression" dxfId="115" priority="176">
      <formula>K79="no"</formula>
    </cfRule>
  </conditionalFormatting>
  <conditionalFormatting sqref="K81">
    <cfRule type="expression" dxfId="114" priority="174">
      <formula>K81="no"</formula>
    </cfRule>
    <cfRule type="expression" dxfId="113" priority="175">
      <formula>K81="no"</formula>
    </cfRule>
  </conditionalFormatting>
  <conditionalFormatting sqref="K83">
    <cfRule type="expression" dxfId="112" priority="173">
      <formula>K83="no"</formula>
    </cfRule>
    <cfRule type="expression" dxfId="111" priority="172">
      <formula>K83="no"</formula>
    </cfRule>
  </conditionalFormatting>
  <conditionalFormatting sqref="K87 K89:K90 K92 K94">
    <cfRule type="expression" dxfId="110" priority="167">
      <formula>K87="no"</formula>
    </cfRule>
    <cfRule type="expression" dxfId="109" priority="166">
      <formula>K87="no"</formula>
    </cfRule>
  </conditionalFormatting>
  <conditionalFormatting sqref="K111">
    <cfRule type="expression" dxfId="108" priority="104">
      <formula>K111="no"</formula>
    </cfRule>
    <cfRule type="expression" dxfId="107" priority="105">
      <formula>K111="no"</formula>
    </cfRule>
  </conditionalFormatting>
  <conditionalFormatting sqref="K113 K115">
    <cfRule type="expression" dxfId="106" priority="102">
      <formula>K113="no"</formula>
    </cfRule>
    <cfRule type="expression" dxfId="105" priority="103">
      <formula>K113="no"</formula>
    </cfRule>
  </conditionalFormatting>
  <conditionalFormatting sqref="O99">
    <cfRule type="expression" dxfId="104" priority="134">
      <formula>O99="no"</formula>
    </cfRule>
    <cfRule type="expression" dxfId="103" priority="135">
      <formula>O99="no"</formula>
    </cfRule>
  </conditionalFormatting>
  <conditionalFormatting sqref="O101">
    <cfRule type="expression" dxfId="102" priority="133">
      <formula>O101="no"</formula>
    </cfRule>
    <cfRule type="expression" dxfId="101" priority="132">
      <formula>O101="no"</formula>
    </cfRule>
  </conditionalFormatting>
  <conditionalFormatting sqref="O103">
    <cfRule type="expression" dxfId="100" priority="131">
      <formula>O103="no"</formula>
    </cfRule>
    <cfRule type="expression" dxfId="99" priority="130">
      <formula>O103="no"</formula>
    </cfRule>
  </conditionalFormatting>
  <conditionalFormatting sqref="O105">
    <cfRule type="expression" dxfId="98" priority="65">
      <formula>O105="no"</formula>
    </cfRule>
    <cfRule type="expression" dxfId="97" priority="66">
      <formula>O105="no"</formula>
    </cfRule>
  </conditionalFormatting>
  <conditionalFormatting sqref="O107">
    <cfRule type="expression" dxfId="96" priority="129">
      <formula>O107="no"</formula>
    </cfRule>
    <cfRule type="expression" dxfId="95" priority="128">
      <formula>O107="no"</formula>
    </cfRule>
  </conditionalFormatting>
  <conditionalFormatting sqref="O109">
    <cfRule type="expression" dxfId="94" priority="58">
      <formula>O109="no"</formula>
    </cfRule>
    <cfRule type="expression" dxfId="93" priority="57">
      <formula>O109="no"</formula>
    </cfRule>
  </conditionalFormatting>
  <conditionalFormatting sqref="O40:P40">
    <cfRule type="expression" dxfId="92" priority="368">
      <formula>O40="no"</formula>
    </cfRule>
    <cfRule type="expression" dxfId="91" priority="369">
      <formula>O40="no"</formula>
    </cfRule>
  </conditionalFormatting>
  <conditionalFormatting sqref="O42:P42">
    <cfRule type="expression" dxfId="90" priority="71">
      <formula>O42="no"</formula>
    </cfRule>
    <cfRule type="expression" dxfId="89" priority="72">
      <formula>O42="no"</formula>
    </cfRule>
  </conditionalFormatting>
  <conditionalFormatting sqref="O44:P44">
    <cfRule type="expression" dxfId="88" priority="110">
      <formula>O44="no"</formula>
    </cfRule>
    <cfRule type="expression" dxfId="87" priority="111">
      <formula>O44="no"</formula>
    </cfRule>
  </conditionalFormatting>
  <conditionalFormatting sqref="O46:P46">
    <cfRule type="expression" dxfId="86" priority="109">
      <formula>O46="no"</formula>
    </cfRule>
    <cfRule type="expression" dxfId="85" priority="108">
      <formula>O46="no"</formula>
    </cfRule>
  </conditionalFormatting>
  <conditionalFormatting sqref="O48:P48">
    <cfRule type="expression" dxfId="84" priority="445">
      <formula>O48="no"</formula>
    </cfRule>
    <cfRule type="expression" dxfId="83" priority="444">
      <formula>O48="no"</formula>
    </cfRule>
  </conditionalFormatting>
  <conditionalFormatting sqref="O50:P50">
    <cfRule type="expression" dxfId="82" priority="360">
      <formula>O50="no"</formula>
    </cfRule>
    <cfRule type="expression" dxfId="81" priority="361">
      <formula>O50="no"</formula>
    </cfRule>
  </conditionalFormatting>
  <conditionalFormatting sqref="O52:P52">
    <cfRule type="expression" dxfId="80" priority="358">
      <formula>O52="no"</formula>
    </cfRule>
    <cfRule type="expression" dxfId="79" priority="359">
      <formula>O52="no"</formula>
    </cfRule>
  </conditionalFormatting>
  <conditionalFormatting sqref="O54:P54">
    <cfRule type="expression" dxfId="78" priority="356">
      <formula>O54="no"</formula>
    </cfRule>
    <cfRule type="expression" dxfId="77" priority="357">
      <formula>O54="no"</formula>
    </cfRule>
  </conditionalFormatting>
  <conditionalFormatting sqref="O56:P56">
    <cfRule type="expression" dxfId="76" priority="355">
      <formula>O56="no"</formula>
    </cfRule>
    <cfRule type="expression" dxfId="75" priority="354">
      <formula>O56="no"</formula>
    </cfRule>
  </conditionalFormatting>
  <conditionalFormatting sqref="O58:P58">
    <cfRule type="expression" dxfId="74" priority="353">
      <formula>O58="no"</formula>
    </cfRule>
    <cfRule type="expression" dxfId="73" priority="352">
      <formula>O58="no"</formula>
    </cfRule>
  </conditionalFormatting>
  <conditionalFormatting sqref="O60:P60">
    <cfRule type="expression" dxfId="72" priority="350">
      <formula>O60="no"</formula>
    </cfRule>
    <cfRule type="expression" dxfId="71" priority="351">
      <formula>O60="no"</formula>
    </cfRule>
  </conditionalFormatting>
  <conditionalFormatting sqref="O62:P62">
    <cfRule type="expression" dxfId="70" priority="349">
      <formula>O62="no"</formula>
    </cfRule>
    <cfRule type="expression" dxfId="69" priority="348">
      <formula>O62="no"</formula>
    </cfRule>
  </conditionalFormatting>
  <conditionalFormatting sqref="S100:T100">
    <cfRule type="expression" dxfId="68" priority="218">
      <formula>S100="no"</formula>
    </cfRule>
    <cfRule type="expression" dxfId="67" priority="219">
      <formula>S100="no"</formula>
    </cfRule>
  </conditionalFormatting>
  <conditionalFormatting sqref="S102:T102">
    <cfRule type="expression" dxfId="66" priority="214">
      <formula>S102="no"</formula>
    </cfRule>
    <cfRule type="expression" dxfId="65" priority="215">
      <formula>S102="no"</formula>
    </cfRule>
  </conditionalFormatting>
  <conditionalFormatting sqref="S104:T104">
    <cfRule type="expression" dxfId="64" priority="70">
      <formula>S104="no"</formula>
    </cfRule>
    <cfRule type="expression" dxfId="63" priority="69">
      <formula>S104="no"</formula>
    </cfRule>
  </conditionalFormatting>
  <conditionalFormatting sqref="S106:T106">
    <cfRule type="expression" dxfId="62" priority="210">
      <formula>S106="no"</formula>
    </cfRule>
    <cfRule type="expression" dxfId="61" priority="211">
      <formula>S106="no"</formula>
    </cfRule>
  </conditionalFormatting>
  <conditionalFormatting sqref="S108:T108">
    <cfRule type="expression" dxfId="60" priority="62">
      <formula>S108="no"</formula>
    </cfRule>
    <cfRule type="expression" dxfId="59" priority="61">
      <formula>S108="no"</formula>
    </cfRule>
  </conditionalFormatting>
  <conditionalFormatting sqref="S36:U36">
    <cfRule type="expression" dxfId="58" priority="100">
      <formula>$S$36="designar tipo"</formula>
    </cfRule>
  </conditionalFormatting>
  <conditionalFormatting sqref="U40">
    <cfRule type="expression" dxfId="57" priority="474">
      <formula>U40="no"</formula>
    </cfRule>
    <cfRule type="expression" dxfId="56" priority="475">
      <formula>U40="no"</formula>
    </cfRule>
  </conditionalFormatting>
  <conditionalFormatting sqref="U42">
    <cfRule type="expression" dxfId="55" priority="473">
      <formula>U42="no"</formula>
    </cfRule>
    <cfRule type="expression" dxfId="54" priority="472">
      <formula>U42="no"</formula>
    </cfRule>
  </conditionalFormatting>
  <conditionalFormatting sqref="U46">
    <cfRule type="expression" dxfId="53" priority="31">
      <formula>U46="no"</formula>
    </cfRule>
    <cfRule type="expression" dxfId="52" priority="32">
      <formula>U46="no"</formula>
    </cfRule>
  </conditionalFormatting>
  <conditionalFormatting sqref="U48">
    <cfRule type="expression" dxfId="51" priority="15">
      <formula>U48="no"</formula>
    </cfRule>
    <cfRule type="expression" dxfId="50" priority="16">
      <formula>U48="no"</formula>
    </cfRule>
  </conditionalFormatting>
  <conditionalFormatting sqref="U50">
    <cfRule type="expression" dxfId="49" priority="13">
      <formula>U50="no"</formula>
    </cfRule>
    <cfRule type="expression" dxfId="48" priority="14">
      <formula>U50="no"</formula>
    </cfRule>
  </conditionalFormatting>
  <conditionalFormatting sqref="U52">
    <cfRule type="expression" dxfId="47" priority="11">
      <formula>U52="no"</formula>
    </cfRule>
    <cfRule type="expression" dxfId="46" priority="12">
      <formula>U52="no"</formula>
    </cfRule>
  </conditionalFormatting>
  <conditionalFormatting sqref="U54">
    <cfRule type="expression" dxfId="45" priority="9">
      <formula>U54="no"</formula>
    </cfRule>
    <cfRule type="expression" dxfId="44" priority="10">
      <formula>U54="no"</formula>
    </cfRule>
  </conditionalFormatting>
  <conditionalFormatting sqref="U56">
    <cfRule type="expression" dxfId="43" priority="7">
      <formula>U56="no"</formula>
    </cfRule>
    <cfRule type="expression" dxfId="42" priority="8">
      <formula>U56="no"</formula>
    </cfRule>
  </conditionalFormatting>
  <conditionalFormatting sqref="U58">
    <cfRule type="expression" dxfId="41" priority="5">
      <formula>U58="no"</formula>
    </cfRule>
    <cfRule type="expression" dxfId="40" priority="6">
      <formula>U58="no"</formula>
    </cfRule>
  </conditionalFormatting>
  <conditionalFormatting sqref="U60">
    <cfRule type="expression" dxfId="39" priority="3">
      <formula>U60="no"</formula>
    </cfRule>
    <cfRule type="expression" dxfId="38" priority="4">
      <formula>U60="no"</formula>
    </cfRule>
  </conditionalFormatting>
  <conditionalFormatting sqref="U62">
    <cfRule type="expression" dxfId="37" priority="1">
      <formula>U62="no"</formula>
    </cfRule>
    <cfRule type="expression" dxfId="36" priority="2">
      <formula>U62="no"</formula>
    </cfRule>
  </conditionalFormatting>
  <conditionalFormatting sqref="U67">
    <cfRule type="expression" dxfId="35" priority="94">
      <formula>U67="no"</formula>
    </cfRule>
    <cfRule type="expression" dxfId="34" priority="93">
      <formula>U67="no"</formula>
    </cfRule>
  </conditionalFormatting>
  <conditionalFormatting sqref="U69">
    <cfRule type="expression" dxfId="33" priority="92">
      <formula>U69="no"</formula>
    </cfRule>
    <cfRule type="expression" dxfId="32" priority="91">
      <formula>U69="no"</formula>
    </cfRule>
  </conditionalFormatting>
  <conditionalFormatting sqref="U71">
    <cfRule type="expression" dxfId="31" priority="90">
      <formula>U71="no"</formula>
    </cfRule>
    <cfRule type="expression" dxfId="30" priority="89">
      <formula>U71="no"</formula>
    </cfRule>
  </conditionalFormatting>
  <conditionalFormatting sqref="U73">
    <cfRule type="expression" dxfId="29" priority="87">
      <formula>U73="no"</formula>
    </cfRule>
    <cfRule type="expression" dxfId="28" priority="88">
      <formula>U73="no"</formula>
    </cfRule>
  </conditionalFormatting>
  <conditionalFormatting sqref="U75">
    <cfRule type="expression" dxfId="27" priority="36">
      <formula>U75="no"</formula>
    </cfRule>
    <cfRule type="expression" dxfId="26" priority="35">
      <formula>U75="no"</formula>
    </cfRule>
  </conditionalFormatting>
  <conditionalFormatting sqref="U77">
    <cfRule type="expression" dxfId="25" priority="86">
      <formula>U77="no"</formula>
    </cfRule>
    <cfRule type="expression" dxfId="24" priority="85">
      <formula>U77="no"</formula>
    </cfRule>
  </conditionalFormatting>
  <conditionalFormatting sqref="U79">
    <cfRule type="expression" dxfId="23" priority="84">
      <formula>U79="no"</formula>
    </cfRule>
    <cfRule type="expression" dxfId="22" priority="83">
      <formula>U79="no"</formula>
    </cfRule>
  </conditionalFormatting>
  <conditionalFormatting sqref="U81">
    <cfRule type="expression" dxfId="21" priority="82">
      <formula>U81="no"</formula>
    </cfRule>
    <cfRule type="expression" dxfId="20" priority="81">
      <formula>U81="no"</formula>
    </cfRule>
  </conditionalFormatting>
  <conditionalFormatting sqref="U83">
    <cfRule type="expression" dxfId="19" priority="79">
      <formula>U83="no"</formula>
    </cfRule>
    <cfRule type="expression" dxfId="18" priority="80">
      <formula>U83="no"</formula>
    </cfRule>
  </conditionalFormatting>
  <conditionalFormatting sqref="U87 U89:U90 U92 U94">
    <cfRule type="expression" dxfId="17" priority="73">
      <formula>U87="no"</formula>
    </cfRule>
    <cfRule type="expression" dxfId="16" priority="74">
      <formula>U87="no"</formula>
    </cfRule>
  </conditionalFormatting>
  <conditionalFormatting sqref="U99">
    <cfRule type="expression" dxfId="15" priority="143">
      <formula>U99="no"</formula>
    </cfRule>
    <cfRule type="expression" dxfId="14" priority="142">
      <formula>U99="no"</formula>
    </cfRule>
  </conditionalFormatting>
  <conditionalFormatting sqref="U101">
    <cfRule type="expression" dxfId="13" priority="140">
      <formula>U101="no"</formula>
    </cfRule>
    <cfRule type="expression" dxfId="12" priority="141">
      <formula>U101="no"</formula>
    </cfRule>
  </conditionalFormatting>
  <conditionalFormatting sqref="U103">
    <cfRule type="expression" dxfId="11" priority="139">
      <formula>U103="no"</formula>
    </cfRule>
    <cfRule type="expression" dxfId="10" priority="138">
      <formula>U103="no"</formula>
    </cfRule>
  </conditionalFormatting>
  <conditionalFormatting sqref="U105">
    <cfRule type="expression" dxfId="9" priority="67">
      <formula>U105="no"</formula>
    </cfRule>
    <cfRule type="expression" dxfId="8" priority="68">
      <formula>U105="no"</formula>
    </cfRule>
  </conditionalFormatting>
  <conditionalFormatting sqref="U107">
    <cfRule type="expression" dxfId="7" priority="136">
      <formula>U107="no"</formula>
    </cfRule>
    <cfRule type="expression" dxfId="6" priority="137">
      <formula>U107="no"</formula>
    </cfRule>
  </conditionalFormatting>
  <conditionalFormatting sqref="U109">
    <cfRule type="expression" dxfId="5" priority="59">
      <formula>U109="no"</formula>
    </cfRule>
    <cfRule type="expression" dxfId="4" priority="60">
      <formula>U109="no"</formula>
    </cfRule>
  </conditionalFormatting>
  <conditionalFormatting sqref="X40">
    <cfRule type="expression" dxfId="3" priority="95">
      <formula>$X$40=""</formula>
    </cfRule>
  </conditionalFormatting>
  <conditionalFormatting sqref="X6:Y6 X10:Y10 X12:Y12 X14:Y14 X16:Y16 X18:Y18 X20:Y20 X24:Y24 X26:Y26 X28:Y28 X30:Y30">
    <cfRule type="expression" dxfId="2" priority="99">
      <formula>AE6=0</formula>
    </cfRule>
  </conditionalFormatting>
  <conditionalFormatting sqref="X32:Y32">
    <cfRule type="expression" dxfId="1" priority="97">
      <formula>AE32=0</formula>
    </cfRule>
  </conditionalFormatting>
  <conditionalFormatting sqref="X36:Y36">
    <cfRule type="expression" dxfId="0" priority="96">
      <formula>AE36=0</formula>
    </cfRule>
  </conditionalFormatting>
  <dataValidations count="1">
    <dataValidation type="list" allowBlank="1" showInputMessage="1" showErrorMessage="1" sqref="I61:J61 U97:U98 U85:U86" xr:uid="{00000000-0002-0000-0000-000000000000}">
      <formula1>#REF!</formula1>
    </dataValidation>
  </dataValidations>
  <hyperlinks>
    <hyperlink ref="O123" r:id="rId1" xr:uid="{00000000-0004-0000-0000-000000000000}"/>
    <hyperlink ref="K123" r:id="rId2" xr:uid="{AF0A3BD8-A050-4B83-A15D-CC7FE83E8131}"/>
    <hyperlink ref="S123" r:id="rId3" xr:uid="{EDE7C4CF-8323-4835-A47A-9DF01A910677}"/>
  </hyperlinks>
  <pageMargins left="0.78740157480314965" right="0.39370078740157483" top="0.78740157480314965" bottom="0.39370078740157483" header="0.31496062992125984" footer="0.31496062992125984"/>
  <pageSetup paperSize="9" scale="56" orientation="portrait" r:id="rId4"/>
  <drawing r:id="rId5"/>
  <legacyDrawing r:id="rId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Tablas!$H$4:$H$6</xm:f>
          </x14:formula1>
          <xm:sqref>U111 U113:U115</xm:sqref>
        </x14:dataValidation>
        <x14:dataValidation type="list" allowBlank="1" showInputMessage="1" showErrorMessage="1" xr:uid="{00000000-0002-0000-0000-000002000000}">
          <x14:formula1>
            <xm:f>Tablas!$D$4:$D$6</xm:f>
          </x14:formula1>
          <xm:sqref>I40:J40 U94 K94 K92 U109 O109 I42:J42 I109 U105 O105 I103 U87 I105 U92 K89:K90 U75 U83 U81 U79 U77 K73 U71 U69 U67 J111:K111 K87 I107 U101 U99 U103 O101 O99 O103 K83 K81 K79 K77 K71 K69 I101 K67 U89:U90 I99 U107 O107 I60:J60 I58:J58 I56:J56 I54:J54 I52:J52 I50:J50 I48:J48 I46:J46 I44:J44 K75 U73 J113:J115 K113 K115</xm:sqref>
        </x14:dataValidation>
        <x14:dataValidation type="list" allowBlank="1" showInputMessage="1" showErrorMessage="1" xr:uid="{00000000-0002-0000-0000-000003000000}">
          <x14:formula1>
            <xm:f>Tablas!$F$4:$F$8</xm:f>
          </x14:formula1>
          <xm:sqref>E36</xm:sqref>
        </x14:dataValidation>
        <x14:dataValidation type="list" allowBlank="1" showInputMessage="1" showErrorMessage="1" xr:uid="{44E0FD66-E9BE-44E8-86B1-9C81B740987F}">
          <x14:formula1>
            <xm:f>Tablas!$A$4:$A$10</xm:f>
          </x14:formula1>
          <xm:sqref>S36</xm:sqref>
        </x14:dataValidation>
        <x14:dataValidation type="list" allowBlank="1" showInputMessage="1" showErrorMessage="1" xr:uid="{0514112D-3585-41A5-AA0A-98D5C7920FA1}">
          <x14:formula1>
            <xm:f>Tablas!$R$4:$R$6</xm:f>
          </x14:formula1>
          <xm:sqref>I36</xm:sqref>
        </x14:dataValidation>
        <x14:dataValidation type="list" allowBlank="1" showInputMessage="1" showErrorMessage="1" xr:uid="{AB7E5CFD-3FEA-4B8D-BC79-60DDCF5DCCB1}">
          <x14:formula1>
            <xm:f>Tablas!$D$4:$D$5</xm:f>
          </x14:formula1>
          <xm:sqref>U46 U48 U50 U52 U54 U56 U58 U60 U62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S15"/>
  <sheetViews>
    <sheetView workbookViewId="0">
      <selection activeCell="B7" sqref="B7"/>
    </sheetView>
  </sheetViews>
  <sheetFormatPr baseColWidth="10" defaultColWidth="10.6328125" defaultRowHeight="10" x14ac:dyDescent="0.2"/>
  <cols>
    <col min="1" max="1" width="12.6328125" style="2" customWidth="1"/>
    <col min="2" max="2" width="17.26953125" style="2" bestFit="1" customWidth="1"/>
    <col min="3" max="3" width="2.6328125" style="2" customWidth="1"/>
    <col min="4" max="4" width="10.6328125" style="2" customWidth="1"/>
    <col min="5" max="5" width="2.6328125" style="2" customWidth="1"/>
    <col min="6" max="6" width="10.6328125" style="2" customWidth="1"/>
    <col min="7" max="7" width="2.6328125" style="2" customWidth="1"/>
    <col min="8" max="8" width="10.6328125" style="2" customWidth="1"/>
    <col min="9" max="9" width="2.6328125" style="2" customWidth="1"/>
    <col min="10" max="11" width="10.6328125" style="2" customWidth="1"/>
    <col min="12" max="12" width="2.6328125" style="2" customWidth="1"/>
    <col min="13" max="14" width="10.6328125" style="2" customWidth="1"/>
    <col min="15" max="15" width="4.453125" style="2" customWidth="1"/>
    <col min="16" max="16" width="35.81640625" style="2" bestFit="1" customWidth="1"/>
    <col min="17" max="17" width="3.26953125" style="2" customWidth="1"/>
    <col min="18" max="257" width="10.6328125" style="2" customWidth="1"/>
    <col min="258" max="16384" width="10.6328125" style="2"/>
  </cols>
  <sheetData>
    <row r="3" spans="1:19" x14ac:dyDescent="0.2">
      <c r="A3" s="91" t="s">
        <v>27</v>
      </c>
      <c r="B3" s="91"/>
      <c r="D3" s="91" t="s">
        <v>28</v>
      </c>
      <c r="F3" s="91" t="s">
        <v>29</v>
      </c>
      <c r="H3" s="91" t="s">
        <v>30</v>
      </c>
      <c r="J3" s="91" t="s">
        <v>164</v>
      </c>
      <c r="K3" s="92"/>
      <c r="M3" s="114" t="s">
        <v>146</v>
      </c>
      <c r="N3" s="92"/>
      <c r="P3" s="114" t="s">
        <v>203</v>
      </c>
      <c r="R3" s="91" t="s">
        <v>225</v>
      </c>
      <c r="S3" s="91"/>
    </row>
    <row r="4" spans="1:19" x14ac:dyDescent="0.2">
      <c r="A4" s="93" t="s">
        <v>11</v>
      </c>
      <c r="B4" s="93" t="str">
        <f>+IF('Datos del contrato'!$S$36="Permanente","1","0")</f>
        <v>0</v>
      </c>
      <c r="D4" s="94" t="s">
        <v>31</v>
      </c>
      <c r="F4" s="94" t="s">
        <v>32</v>
      </c>
      <c r="H4" s="94" t="s">
        <v>33</v>
      </c>
      <c r="J4" s="95" t="s">
        <v>0</v>
      </c>
      <c r="K4" s="93">
        <f>IF('Datos del contrato'!I40="si",1,0)</f>
        <v>0</v>
      </c>
      <c r="M4" s="115" t="s">
        <v>165</v>
      </c>
      <c r="N4" s="116"/>
      <c r="P4" s="94" t="s">
        <v>201</v>
      </c>
      <c r="R4" s="93" t="s">
        <v>226</v>
      </c>
      <c r="S4" s="93" t="str">
        <f>+IF('Datos del contrato'!$I$36="Obra","1","0")</f>
        <v>0</v>
      </c>
    </row>
    <row r="5" spans="1:19" x14ac:dyDescent="0.2">
      <c r="A5" s="93" t="s">
        <v>34</v>
      </c>
      <c r="B5" s="93" t="str">
        <f>+IF('Datos del contrato'!$S$36="Programado","1","0")</f>
        <v>0</v>
      </c>
      <c r="D5" s="94" t="s">
        <v>35</v>
      </c>
      <c r="F5" s="94" t="s">
        <v>36</v>
      </c>
      <c r="H5" s="94" t="s">
        <v>37</v>
      </c>
      <c r="J5" s="95" t="s">
        <v>1</v>
      </c>
      <c r="K5" s="93">
        <f>IF('Datos del contrato'!I42="si",1,0)</f>
        <v>0</v>
      </c>
      <c r="M5" s="94" t="s">
        <v>32</v>
      </c>
      <c r="N5" s="117">
        <v>100000</v>
      </c>
      <c r="P5" s="94" t="s">
        <v>202</v>
      </c>
      <c r="R5" s="93" t="s">
        <v>227</v>
      </c>
      <c r="S5" s="93" t="str">
        <f>+IF('Datos del contrato'!$I$36="Servicio","1","0")</f>
        <v>0</v>
      </c>
    </row>
    <row r="6" spans="1:19" x14ac:dyDescent="0.2">
      <c r="A6" s="93" t="s">
        <v>12</v>
      </c>
      <c r="B6" s="93" t="str">
        <f>+IF('Datos del contrato'!$S$36="Esporádico","1","0")</f>
        <v>0</v>
      </c>
      <c r="D6" s="94"/>
      <c r="F6" s="94" t="s">
        <v>38</v>
      </c>
      <c r="H6" s="94"/>
      <c r="J6" s="95" t="s">
        <v>2</v>
      </c>
      <c r="K6" s="93">
        <f>IF('Datos del contrato'!I44="si",1,0)</f>
        <v>0</v>
      </c>
      <c r="M6" s="94" t="s">
        <v>36</v>
      </c>
      <c r="N6" s="117">
        <v>200000</v>
      </c>
      <c r="P6" s="94" t="s">
        <v>130</v>
      </c>
      <c r="R6" s="124" t="s">
        <v>228</v>
      </c>
      <c r="S6" s="93" t="str">
        <f>+IF('Datos del contrato'!$S$36="Esporádico","1","0")</f>
        <v>0</v>
      </c>
    </row>
    <row r="7" spans="1:19" x14ac:dyDescent="0.2">
      <c r="A7" s="93" t="s">
        <v>197</v>
      </c>
      <c r="B7" s="93" t="str">
        <f>+IF('Datos del contrato'!$S$36="A demanda","1","0")</f>
        <v>0</v>
      </c>
      <c r="F7" s="94" t="s">
        <v>39</v>
      </c>
      <c r="J7" s="95" t="s">
        <v>3</v>
      </c>
      <c r="K7" s="93">
        <f>IF('Datos del contrato'!I46="si",1,0)</f>
        <v>0</v>
      </c>
      <c r="M7" s="94" t="s">
        <v>38</v>
      </c>
      <c r="N7" s="117">
        <v>500000</v>
      </c>
      <c r="P7" s="94" t="s">
        <v>131</v>
      </c>
    </row>
    <row r="8" spans="1:19" x14ac:dyDescent="0.2">
      <c r="A8" s="124"/>
      <c r="B8" s="93" t="str">
        <f>+IF('Datos del contrato'!$S$36="Obras","1","0")</f>
        <v>0</v>
      </c>
      <c r="F8" s="124" t="s">
        <v>169</v>
      </c>
      <c r="J8" s="95" t="s">
        <v>4</v>
      </c>
      <c r="K8" s="93">
        <f>IF('Datos del contrato'!I48="si",1,0)</f>
        <v>0</v>
      </c>
      <c r="M8" s="94" t="s">
        <v>39</v>
      </c>
      <c r="N8" s="117">
        <v>1000000</v>
      </c>
      <c r="P8" s="94" t="s">
        <v>132</v>
      </c>
    </row>
    <row r="9" spans="1:19" x14ac:dyDescent="0.2">
      <c r="A9" s="124"/>
      <c r="B9" s="93" t="str">
        <f>+IF('Datos del contrato'!$S$36="Servicios","1","0")</f>
        <v>0</v>
      </c>
      <c r="J9" s="95" t="s">
        <v>5</v>
      </c>
      <c r="K9" s="93">
        <f>IF('Datos del contrato'!I50="si",1,0)</f>
        <v>0</v>
      </c>
      <c r="M9" s="124" t="s">
        <v>169</v>
      </c>
      <c r="N9" s="117">
        <v>0</v>
      </c>
      <c r="P9" s="94" t="s">
        <v>183</v>
      </c>
    </row>
    <row r="10" spans="1:19" x14ac:dyDescent="0.2">
      <c r="J10" s="95" t="s">
        <v>6</v>
      </c>
      <c r="K10" s="93">
        <f>IF('Datos del contrato'!I52="si",1,0)</f>
        <v>0</v>
      </c>
      <c r="P10" s="94" t="s">
        <v>126</v>
      </c>
    </row>
    <row r="11" spans="1:19" x14ac:dyDescent="0.2">
      <c r="J11" s="95" t="s">
        <v>7</v>
      </c>
      <c r="K11" s="93">
        <f>IF('Datos del contrato'!I54="si",1,0)</f>
        <v>0</v>
      </c>
      <c r="P11" s="94" t="s">
        <v>127</v>
      </c>
    </row>
    <row r="12" spans="1:19" x14ac:dyDescent="0.2">
      <c r="J12" s="95" t="s">
        <v>8</v>
      </c>
      <c r="K12" s="93">
        <f>IF('Datos del contrato'!I56="si",1,0)</f>
        <v>0</v>
      </c>
    </row>
    <row r="13" spans="1:19" x14ac:dyDescent="0.2">
      <c r="J13" s="95" t="s">
        <v>9</v>
      </c>
      <c r="K13" s="93">
        <f>IF('Datos del contrato'!I58="si",1,0)</f>
        <v>0</v>
      </c>
    </row>
    <row r="14" spans="1:19" x14ac:dyDescent="0.2">
      <c r="J14" s="95" t="s">
        <v>10</v>
      </c>
      <c r="K14" s="93">
        <f>IF('Datos del contrato'!I60="si",1,0)</f>
        <v>0</v>
      </c>
    </row>
    <row r="15" spans="1:19" x14ac:dyDescent="0.2">
      <c r="J15" s="96" t="s">
        <v>147</v>
      </c>
      <c r="K15" s="96">
        <f>SUM(K4:K14)</f>
        <v>0</v>
      </c>
    </row>
  </sheetData>
  <sheetProtection sheet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140"/>
  <sheetViews>
    <sheetView workbookViewId="0">
      <selection activeCell="H7" sqref="H7"/>
    </sheetView>
  </sheetViews>
  <sheetFormatPr baseColWidth="10" defaultColWidth="10.6328125" defaultRowHeight="14.5" x14ac:dyDescent="0.35"/>
  <cols>
    <col min="1" max="16384" width="10.6328125" style="1"/>
  </cols>
  <sheetData>
    <row r="3" spans="1:1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35">
      <c r="A4" s="8"/>
      <c r="B4" s="59" t="s">
        <v>91</v>
      </c>
      <c r="C4" s="59"/>
      <c r="D4" s="55"/>
      <c r="E4" s="55"/>
      <c r="F4" s="55"/>
      <c r="G4" s="55"/>
      <c r="H4" s="55"/>
      <c r="I4" s="55"/>
      <c r="J4" s="8"/>
      <c r="K4" s="8"/>
      <c r="L4" s="8"/>
      <c r="M4" s="8"/>
    </row>
    <row r="5" spans="1:13" x14ac:dyDescent="0.35">
      <c r="A5" s="8" t="s">
        <v>13</v>
      </c>
      <c r="B5" s="232" t="s">
        <v>79</v>
      </c>
      <c r="C5" s="232"/>
      <c r="D5" s="232"/>
      <c r="E5" s="232"/>
      <c r="F5" s="232"/>
      <c r="G5" s="55"/>
      <c r="H5" s="60" t="s">
        <v>77</v>
      </c>
      <c r="I5" s="60"/>
      <c r="J5" s="8"/>
      <c r="K5" s="8"/>
      <c r="L5" s="8"/>
      <c r="M5" s="8"/>
    </row>
    <row r="6" spans="1:13" x14ac:dyDescent="0.35">
      <c r="A6" s="8" t="s">
        <v>13</v>
      </c>
      <c r="B6" s="232" t="s">
        <v>78</v>
      </c>
      <c r="C6" s="232"/>
      <c r="D6" s="232"/>
      <c r="E6" s="232"/>
      <c r="F6" s="232"/>
      <c r="G6" s="55"/>
      <c r="H6" s="60" t="s">
        <v>77</v>
      </c>
      <c r="I6" s="60"/>
      <c r="J6" s="8"/>
      <c r="K6" s="8"/>
      <c r="L6" s="8"/>
      <c r="M6" s="8"/>
    </row>
    <row r="7" spans="1:13" x14ac:dyDescent="0.35">
      <c r="A7" s="8" t="s">
        <v>13</v>
      </c>
      <c r="B7" s="232" t="s">
        <v>80</v>
      </c>
      <c r="C7" s="232"/>
      <c r="D7" s="232"/>
      <c r="E7" s="232"/>
      <c r="F7" s="232"/>
      <c r="G7" s="55"/>
      <c r="H7" s="60" t="s">
        <v>81</v>
      </c>
      <c r="I7" s="60"/>
      <c r="J7" s="8"/>
      <c r="K7" s="8"/>
      <c r="L7" s="8"/>
      <c r="M7" s="8"/>
    </row>
    <row r="8" spans="1:13" x14ac:dyDescent="0.35">
      <c r="A8" s="8" t="s">
        <v>145</v>
      </c>
      <c r="B8" s="232" t="s">
        <v>88</v>
      </c>
      <c r="C8" s="232"/>
      <c r="D8" s="232"/>
      <c r="E8" s="232"/>
      <c r="F8" s="232"/>
      <c r="G8" s="55"/>
      <c r="H8" s="60" t="s">
        <v>89</v>
      </c>
      <c r="I8" s="60"/>
      <c r="J8" s="8"/>
      <c r="K8" s="8"/>
      <c r="L8" s="8"/>
      <c r="M8" s="8"/>
    </row>
    <row r="9" spans="1:13" x14ac:dyDescent="0.35">
      <c r="A9" s="8" t="s">
        <v>13</v>
      </c>
      <c r="B9" s="232" t="s">
        <v>82</v>
      </c>
      <c r="C9" s="232"/>
      <c r="D9" s="232"/>
      <c r="E9" s="232"/>
      <c r="F9" s="232"/>
      <c r="G9" s="55"/>
      <c r="H9" s="60" t="s">
        <v>90</v>
      </c>
      <c r="I9" s="60"/>
      <c r="J9" s="8"/>
      <c r="K9" s="8"/>
      <c r="L9" s="8"/>
      <c r="M9" s="8"/>
    </row>
    <row r="10" spans="1:13" x14ac:dyDescent="0.35">
      <c r="A10" s="8"/>
      <c r="B10" s="232" t="s">
        <v>83</v>
      </c>
      <c r="C10" s="232"/>
      <c r="D10" s="232"/>
      <c r="E10" s="232"/>
      <c r="F10" s="232"/>
      <c r="G10" s="55"/>
      <c r="H10" s="60" t="s">
        <v>81</v>
      </c>
      <c r="I10" s="60"/>
      <c r="J10" s="8"/>
      <c r="K10" s="8"/>
      <c r="L10" s="8"/>
      <c r="M10" s="8"/>
    </row>
    <row r="11" spans="1:13" x14ac:dyDescent="0.35">
      <c r="A11" s="8" t="s">
        <v>13</v>
      </c>
      <c r="B11" s="232" t="s">
        <v>84</v>
      </c>
      <c r="C11" s="232"/>
      <c r="D11" s="232"/>
      <c r="E11" s="232"/>
      <c r="F11" s="232"/>
      <c r="G11" s="55"/>
      <c r="H11" s="60" t="s">
        <v>81</v>
      </c>
      <c r="I11" s="60"/>
      <c r="J11" s="8"/>
      <c r="K11" s="8"/>
      <c r="L11" s="8"/>
      <c r="M11" s="8"/>
    </row>
    <row r="12" spans="1:13" x14ac:dyDescent="0.35">
      <c r="A12" s="8"/>
      <c r="B12" s="232" t="s">
        <v>80</v>
      </c>
      <c r="C12" s="232"/>
      <c r="D12" s="232"/>
      <c r="E12" s="232"/>
      <c r="F12" s="232"/>
      <c r="G12" s="55"/>
      <c r="H12" s="60" t="s">
        <v>81</v>
      </c>
      <c r="I12" s="60"/>
      <c r="J12" s="8"/>
      <c r="K12" s="8"/>
      <c r="L12" s="8"/>
      <c r="M12" s="8"/>
    </row>
    <row r="13" spans="1:13" ht="34.25" customHeight="1" x14ac:dyDescent="0.35">
      <c r="A13" s="8" t="s">
        <v>13</v>
      </c>
      <c r="B13" s="232" t="s">
        <v>85</v>
      </c>
      <c r="C13" s="232"/>
      <c r="D13" s="232"/>
      <c r="E13" s="232"/>
      <c r="F13" s="232"/>
      <c r="G13" s="55"/>
      <c r="H13" s="60" t="s">
        <v>89</v>
      </c>
      <c r="I13" s="60"/>
      <c r="J13" s="8"/>
      <c r="K13" s="8"/>
      <c r="L13" s="8"/>
      <c r="M13" s="8"/>
    </row>
    <row r="14" spans="1:13" x14ac:dyDescent="0.35">
      <c r="A14" s="8" t="s">
        <v>13</v>
      </c>
      <c r="B14" s="232" t="s">
        <v>86</v>
      </c>
      <c r="C14" s="232"/>
      <c r="D14" s="232"/>
      <c r="E14" s="232"/>
      <c r="F14" s="232"/>
      <c r="G14" s="55"/>
      <c r="H14" s="60" t="s">
        <v>89</v>
      </c>
      <c r="I14" s="60"/>
      <c r="J14" s="8"/>
      <c r="K14" s="8"/>
      <c r="L14" s="8"/>
      <c r="M14" s="8"/>
    </row>
    <row r="15" spans="1:13" ht="37.25" customHeight="1" x14ac:dyDescent="0.35">
      <c r="A15" s="8"/>
      <c r="B15" s="232" t="s">
        <v>87</v>
      </c>
      <c r="C15" s="232"/>
      <c r="D15" s="232"/>
      <c r="E15" s="232"/>
      <c r="F15" s="232"/>
      <c r="G15" s="55"/>
      <c r="H15" s="60" t="s">
        <v>89</v>
      </c>
      <c r="I15" s="60"/>
      <c r="J15" s="8"/>
      <c r="K15" s="8"/>
      <c r="L15" s="8"/>
      <c r="M15" s="8"/>
    </row>
    <row r="16" spans="1:13" x14ac:dyDescent="0.35">
      <c r="A16" s="8"/>
      <c r="B16" s="55"/>
      <c r="C16" s="55"/>
      <c r="D16" s="55"/>
      <c r="E16" s="55"/>
      <c r="F16" s="56"/>
      <c r="G16" s="55"/>
      <c r="H16" s="55"/>
      <c r="I16" s="55"/>
      <c r="J16" s="8"/>
      <c r="K16" s="8"/>
      <c r="L16" s="8"/>
      <c r="M16" s="8"/>
    </row>
    <row r="17" spans="1:13" x14ac:dyDescent="0.35">
      <c r="A17" s="8"/>
      <c r="B17" s="8"/>
      <c r="C17" s="57" t="s">
        <v>142</v>
      </c>
      <c r="D17" s="57"/>
      <c r="E17" s="57"/>
      <c r="F17" s="58"/>
      <c r="G17" s="57"/>
      <c r="H17" s="57"/>
      <c r="I17" s="57" t="s">
        <v>143</v>
      </c>
      <c r="J17" s="8"/>
      <c r="K17" s="8"/>
      <c r="L17" s="8"/>
      <c r="M17" s="8"/>
    </row>
    <row r="18" spans="1:13" x14ac:dyDescent="0.35">
      <c r="A18" s="8"/>
      <c r="B18" s="8"/>
      <c r="C18" s="2" t="s">
        <v>92</v>
      </c>
      <c r="D18" s="2"/>
      <c r="E18" s="2"/>
      <c r="F18" s="8"/>
      <c r="G18" s="2"/>
      <c r="H18" s="2"/>
      <c r="I18" s="2" t="s">
        <v>125</v>
      </c>
      <c r="J18" s="8"/>
      <c r="K18" s="2"/>
      <c r="L18" s="8"/>
      <c r="M18" s="2"/>
    </row>
    <row r="19" spans="1:13" x14ac:dyDescent="0.35">
      <c r="A19" s="8"/>
      <c r="B19" s="8"/>
      <c r="C19" s="2" t="s">
        <v>93</v>
      </c>
      <c r="D19" s="2"/>
      <c r="E19" s="2"/>
      <c r="F19" s="2"/>
      <c r="G19" s="2"/>
      <c r="H19" s="2"/>
      <c r="I19" s="2" t="s">
        <v>126</v>
      </c>
      <c r="J19" s="2"/>
      <c r="K19" s="2"/>
      <c r="L19" s="8"/>
      <c r="M19" s="2"/>
    </row>
    <row r="20" spans="1:13" x14ac:dyDescent="0.35">
      <c r="A20" s="8"/>
      <c r="B20" s="8"/>
      <c r="C20" s="2" t="s">
        <v>94</v>
      </c>
      <c r="D20" s="2"/>
      <c r="E20" s="2"/>
      <c r="F20" s="2"/>
      <c r="G20" s="2"/>
      <c r="H20" s="2"/>
      <c r="I20" s="2" t="s">
        <v>127</v>
      </c>
      <c r="J20" s="2"/>
      <c r="K20" s="2"/>
      <c r="L20" s="8"/>
      <c r="M20" s="2"/>
    </row>
    <row r="21" spans="1:13" x14ac:dyDescent="0.35">
      <c r="A21" s="8"/>
      <c r="B21" s="8"/>
      <c r="C21" s="2" t="s">
        <v>95</v>
      </c>
      <c r="D21" s="2"/>
      <c r="E21" s="2"/>
      <c r="F21" s="2"/>
      <c r="G21" s="2"/>
      <c r="H21" s="2"/>
      <c r="I21" s="2" t="s">
        <v>128</v>
      </c>
      <c r="J21" s="2"/>
      <c r="K21" s="2"/>
      <c r="L21" s="8"/>
      <c r="M21" s="2"/>
    </row>
    <row r="22" spans="1:13" x14ac:dyDescent="0.35">
      <c r="A22" s="8"/>
      <c r="B22" s="8"/>
      <c r="C22" s="2" t="s">
        <v>96</v>
      </c>
      <c r="D22" s="2"/>
      <c r="E22" s="2"/>
      <c r="F22" s="2"/>
      <c r="G22" s="2"/>
      <c r="H22" s="2"/>
      <c r="I22" s="2" t="s">
        <v>129</v>
      </c>
      <c r="J22" s="2"/>
      <c r="K22" s="2"/>
      <c r="L22" s="8"/>
      <c r="M22" s="2"/>
    </row>
    <row r="23" spans="1:13" x14ac:dyDescent="0.35">
      <c r="A23" s="8"/>
      <c r="B23" s="8"/>
      <c r="C23" s="2" t="s">
        <v>97</v>
      </c>
      <c r="D23" s="2"/>
      <c r="E23" s="2"/>
      <c r="F23" s="2"/>
      <c r="G23" s="2"/>
      <c r="H23" s="2"/>
      <c r="I23" s="2" t="s">
        <v>130</v>
      </c>
      <c r="J23" s="2"/>
      <c r="K23" s="2"/>
      <c r="L23" s="8"/>
      <c r="M23" s="2"/>
    </row>
    <row r="24" spans="1:13" x14ac:dyDescent="0.35">
      <c r="A24" s="8"/>
      <c r="B24" s="8"/>
      <c r="C24" s="2" t="s">
        <v>98</v>
      </c>
      <c r="D24" s="2"/>
      <c r="E24" s="2"/>
      <c r="F24" s="2"/>
      <c r="G24" s="2"/>
      <c r="H24" s="2"/>
      <c r="I24" s="2" t="s">
        <v>131</v>
      </c>
      <c r="J24" s="2"/>
      <c r="K24" s="2"/>
      <c r="L24" s="8"/>
      <c r="M24" s="2"/>
    </row>
    <row r="25" spans="1:13" x14ac:dyDescent="0.35">
      <c r="A25" s="8"/>
      <c r="B25" s="8"/>
      <c r="C25" s="2" t="s">
        <v>99</v>
      </c>
      <c r="D25" s="2"/>
      <c r="E25" s="2"/>
      <c r="F25" s="2"/>
      <c r="G25" s="2"/>
      <c r="H25" s="2"/>
      <c r="I25" s="2" t="s">
        <v>132</v>
      </c>
      <c r="J25" s="2"/>
      <c r="K25" s="2"/>
      <c r="L25" s="8"/>
      <c r="M25" s="2"/>
    </row>
    <row r="26" spans="1:13" x14ac:dyDescent="0.35">
      <c r="A26" s="8"/>
      <c r="B26" s="8"/>
      <c r="C26" s="2" t="s">
        <v>100</v>
      </c>
      <c r="D26" s="2"/>
      <c r="E26" s="2"/>
      <c r="F26" s="2"/>
      <c r="G26" s="2"/>
      <c r="H26" s="2"/>
      <c r="I26" s="2" t="s">
        <v>133</v>
      </c>
      <c r="J26" s="2"/>
      <c r="K26" s="2"/>
      <c r="L26" s="8"/>
      <c r="M26" s="2"/>
    </row>
    <row r="27" spans="1:13" x14ac:dyDescent="0.35">
      <c r="A27" s="8"/>
      <c r="B27" s="8"/>
      <c r="C27" s="2" t="s">
        <v>101</v>
      </c>
      <c r="D27" s="2"/>
      <c r="E27" s="2"/>
      <c r="F27" s="2"/>
      <c r="G27" s="2"/>
      <c r="H27" s="2"/>
      <c r="I27" s="2" t="s">
        <v>134</v>
      </c>
      <c r="J27" s="2"/>
      <c r="K27" s="2"/>
      <c r="L27" s="8"/>
      <c r="M27" s="2"/>
    </row>
    <row r="28" spans="1:13" x14ac:dyDescent="0.35">
      <c r="A28" s="8"/>
      <c r="B28" s="8"/>
      <c r="C28" s="2" t="s">
        <v>102</v>
      </c>
      <c r="D28" s="2"/>
      <c r="E28" s="2"/>
      <c r="F28" s="2"/>
      <c r="G28" s="2"/>
      <c r="H28" s="2"/>
      <c r="I28" s="2" t="s">
        <v>135</v>
      </c>
      <c r="J28" s="2"/>
      <c r="K28" s="2"/>
      <c r="L28" s="8"/>
      <c r="M28" s="2"/>
    </row>
    <row r="29" spans="1:13" x14ac:dyDescent="0.35">
      <c r="A29" s="8"/>
      <c r="B29" s="8"/>
      <c r="C29" s="2" t="s">
        <v>103</v>
      </c>
      <c r="D29" s="2"/>
      <c r="E29" s="2"/>
      <c r="F29" s="2"/>
      <c r="G29" s="2"/>
      <c r="H29" s="2"/>
      <c r="I29" s="2" t="s">
        <v>136</v>
      </c>
      <c r="J29" s="2"/>
      <c r="K29" s="2"/>
      <c r="L29" s="8"/>
      <c r="M29" s="2"/>
    </row>
    <row r="30" spans="1:13" x14ac:dyDescent="0.35">
      <c r="A30" s="8"/>
      <c r="B30" s="8"/>
      <c r="C30" s="2" t="s">
        <v>104</v>
      </c>
      <c r="D30" s="2"/>
      <c r="E30" s="2"/>
      <c r="F30" s="2"/>
      <c r="G30" s="2"/>
      <c r="H30" s="2"/>
      <c r="I30" s="2" t="s">
        <v>137</v>
      </c>
      <c r="J30" s="2"/>
      <c r="K30" s="2"/>
      <c r="L30" s="8"/>
      <c r="M30" s="2"/>
    </row>
    <row r="31" spans="1:13" x14ac:dyDescent="0.35">
      <c r="A31" s="8"/>
      <c r="B31" s="8"/>
      <c r="C31" s="2" t="s">
        <v>105</v>
      </c>
      <c r="D31" s="2"/>
      <c r="E31" s="2"/>
      <c r="F31" s="2"/>
      <c r="G31" s="2"/>
      <c r="H31" s="2"/>
      <c r="I31" s="2" t="s">
        <v>138</v>
      </c>
      <c r="J31" s="2"/>
      <c r="K31" s="2"/>
      <c r="L31" s="8"/>
      <c r="M31" s="2"/>
    </row>
    <row r="32" spans="1:13" x14ac:dyDescent="0.35">
      <c r="A32" s="8"/>
      <c r="B32" s="8"/>
      <c r="C32" s="2" t="s">
        <v>106</v>
      </c>
      <c r="D32" s="2"/>
      <c r="E32" s="2"/>
      <c r="F32" s="2"/>
      <c r="G32" s="2"/>
      <c r="H32" s="2"/>
      <c r="I32" s="2" t="s">
        <v>139</v>
      </c>
      <c r="J32" s="2"/>
      <c r="K32" s="2"/>
      <c r="L32" s="8"/>
      <c r="M32" s="2"/>
    </row>
    <row r="33" spans="1:13" x14ac:dyDescent="0.35">
      <c r="A33" s="8"/>
      <c r="B33" s="8"/>
      <c r="C33" s="2" t="s">
        <v>107</v>
      </c>
      <c r="D33" s="2"/>
      <c r="E33" s="2"/>
      <c r="F33" s="2"/>
      <c r="G33" s="2"/>
      <c r="H33" s="2"/>
      <c r="I33" s="2" t="s">
        <v>140</v>
      </c>
      <c r="J33" s="2"/>
      <c r="K33" s="2"/>
      <c r="L33" s="8"/>
      <c r="M33" s="2"/>
    </row>
    <row r="34" spans="1:13" x14ac:dyDescent="0.35">
      <c r="A34" s="8"/>
      <c r="B34" s="8"/>
      <c r="C34" s="2" t="s">
        <v>108</v>
      </c>
      <c r="D34" s="2"/>
      <c r="E34" s="2"/>
      <c r="F34" s="2"/>
      <c r="G34" s="2"/>
      <c r="H34" s="2"/>
      <c r="I34" s="2" t="s">
        <v>141</v>
      </c>
      <c r="J34" s="2"/>
      <c r="K34" s="2"/>
      <c r="L34" s="8"/>
      <c r="M34" s="2"/>
    </row>
    <row r="35" spans="1:13" x14ac:dyDescent="0.35">
      <c r="A35" s="8"/>
      <c r="B35" s="8"/>
      <c r="C35" s="2" t="s">
        <v>109</v>
      </c>
      <c r="D35" s="2"/>
      <c r="E35" s="2"/>
      <c r="F35" s="2"/>
      <c r="G35" s="2"/>
      <c r="H35" s="2"/>
      <c r="I35" s="2" t="s">
        <v>123</v>
      </c>
      <c r="J35" s="2"/>
      <c r="K35" s="2"/>
      <c r="L35" s="8"/>
      <c r="M35" s="2"/>
    </row>
    <row r="36" spans="1:13" x14ac:dyDescent="0.35">
      <c r="A36" s="8"/>
      <c r="B36" s="8"/>
      <c r="C36" s="2" t="s">
        <v>110</v>
      </c>
      <c r="D36" s="2"/>
      <c r="E36" s="2"/>
      <c r="F36" s="2"/>
      <c r="G36" s="2"/>
      <c r="H36" s="2"/>
      <c r="I36" s="2"/>
      <c r="J36" s="2"/>
      <c r="K36" s="2"/>
      <c r="L36" s="8"/>
      <c r="M36" s="2"/>
    </row>
    <row r="37" spans="1:13" x14ac:dyDescent="0.35">
      <c r="A37" s="8"/>
      <c r="B37" s="8"/>
      <c r="C37" s="2" t="s">
        <v>111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5">
      <c r="A38" s="8"/>
      <c r="B38" s="8"/>
      <c r="C38" s="2" t="s">
        <v>112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5">
      <c r="A39" s="8"/>
      <c r="B39" s="8"/>
      <c r="C39" s="2" t="s">
        <v>113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5">
      <c r="A40" s="8"/>
      <c r="B40" s="8"/>
      <c r="C40" s="2" t="s">
        <v>114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5">
      <c r="A41" s="8"/>
      <c r="B41" s="8"/>
      <c r="C41" s="2" t="s">
        <v>115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5">
      <c r="A42" s="8"/>
      <c r="B42" s="8"/>
      <c r="C42" s="2" t="s">
        <v>116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5">
      <c r="A43" s="8"/>
      <c r="B43" s="8"/>
      <c r="C43" s="2" t="s">
        <v>117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5">
      <c r="A44" s="8"/>
      <c r="B44" s="8"/>
      <c r="C44" s="2" t="s">
        <v>118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5">
      <c r="A45" s="8"/>
      <c r="B45" s="8"/>
      <c r="C45" s="2" t="s">
        <v>119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5">
      <c r="A46" s="8"/>
      <c r="B46" s="8"/>
      <c r="C46" s="2" t="s">
        <v>120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5">
      <c r="A47" s="8"/>
      <c r="B47" s="8"/>
      <c r="C47" s="2" t="s">
        <v>121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5">
      <c r="A48" s="8"/>
      <c r="B48" s="8"/>
      <c r="C48" s="2" t="s">
        <v>122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5">
      <c r="A49" s="8"/>
      <c r="B49" s="8"/>
      <c r="C49" s="2" t="s">
        <v>123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5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5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5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5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5">
      <c r="A55" s="8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5">
      <c r="A56" s="8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5">
      <c r="A57" s="8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5">
      <c r="A58" s="8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5">
      <c r="A59" s="8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5">
      <c r="A60" s="8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35">
      <c r="A61" s="8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5">
      <c r="A62" s="8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35">
      <c r="A63" s="8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5">
      <c r="A64" s="8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35">
      <c r="A65" s="8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35">
      <c r="A66" s="8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35">
      <c r="A67" s="8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5">
      <c r="A68" s="8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35">
      <c r="A69" s="8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5">
      <c r="A70" s="8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35">
      <c r="A71" s="8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5">
      <c r="A72" s="8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35">
      <c r="A73" s="8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35">
      <c r="A74" s="8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35">
      <c r="A75" s="8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35">
      <c r="A76" s="8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35">
      <c r="A77" s="8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35">
      <c r="A78" s="8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35">
      <c r="A79" s="8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35">
      <c r="A80" s="8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35">
      <c r="A81" s="8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35">
      <c r="A82" s="8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35">
      <c r="A83" s="8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5">
      <c r="A84" s="8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5">
      <c r="A85" s="8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35">
      <c r="A86" s="8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5">
      <c r="A87" s="8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5">
      <c r="A88" s="8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5">
      <c r="A89" s="8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5">
      <c r="A90" s="8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35">
      <c r="A91" s="8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35">
      <c r="A92" s="8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5">
      <c r="A93" s="8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5">
      <c r="A94" s="8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5">
      <c r="A95" s="8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5">
      <c r="A96" s="8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5">
      <c r="A97" s="8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5">
      <c r="A98" s="8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5">
      <c r="A99" s="8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5">
      <c r="A100" s="8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5">
      <c r="A101" s="8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35">
      <c r="A102" s="8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35">
      <c r="A103" s="8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5">
      <c r="A104" s="8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35">
      <c r="A105" s="8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35">
      <c r="A106" s="8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35">
      <c r="A107" s="8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35">
      <c r="A108" s="8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35">
      <c r="A109" s="8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35">
      <c r="A110" s="8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35">
      <c r="A111" s="8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35">
      <c r="A112" s="8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35">
      <c r="A113" s="8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35">
      <c r="A114" s="8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35">
      <c r="A115" s="8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35">
      <c r="A116" s="8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35">
      <c r="A117" s="8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35">
      <c r="A118" s="8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35">
      <c r="A119" s="8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35">
      <c r="A120" s="8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35">
      <c r="A121" s="8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35">
      <c r="A122" s="8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35">
      <c r="A123" s="8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35">
      <c r="A124" s="8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35">
      <c r="A125" s="8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35">
      <c r="A126" s="8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35">
      <c r="A127" s="8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5">
      <c r="A128" s="8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5">
      <c r="A129" s="8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35">
      <c r="A130" s="8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5">
      <c r="A131" s="8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5">
      <c r="A132" s="8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5">
      <c r="A133" s="8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5">
      <c r="A134" s="8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35">
      <c r="A135" s="8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5">
      <c r="A136" s="8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5">
      <c r="A137" s="8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35">
      <c r="A138" s="8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35">
      <c r="A139" s="8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5">
      <c r="A140" s="8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</sheetData>
  <mergeCells count="11">
    <mergeCell ref="B11:F11"/>
    <mergeCell ref="B12:F12"/>
    <mergeCell ref="B13:F13"/>
    <mergeCell ref="B14:F14"/>
    <mergeCell ref="B15:F15"/>
    <mergeCell ref="B10:F10"/>
    <mergeCell ref="B5:F5"/>
    <mergeCell ref="B6:F6"/>
    <mergeCell ref="B7:F7"/>
    <mergeCell ref="B8:F8"/>
    <mergeCell ref="B9:F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9C205FCC4CD6459E3E81B5FE82337D" ma:contentTypeVersion="13" ma:contentTypeDescription="Crear nuevo documento." ma:contentTypeScope="" ma:versionID="3de8f677413746b05e5d22693ed73e11">
  <xsd:schema xmlns:xsd="http://www.w3.org/2001/XMLSchema" xmlns:xs="http://www.w3.org/2001/XMLSchema" xmlns:p="http://schemas.microsoft.com/office/2006/metadata/properties" xmlns:ns3="50b146f5-55f1-4b43-9d4c-d7e469445073" xmlns:ns4="c03363dc-e365-4fcf-b9b8-0cd1784030d8" targetNamespace="http://schemas.microsoft.com/office/2006/metadata/properties" ma:root="true" ma:fieldsID="7e9ba3fe7d8aad8587d7d1095b5c9dee" ns3:_="" ns4:_="">
    <xsd:import namespace="50b146f5-55f1-4b43-9d4c-d7e469445073"/>
    <xsd:import namespace="c03363dc-e365-4fcf-b9b8-0cd1784030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146f5-55f1-4b43-9d4c-d7e4694450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363dc-e365-4fcf-b9b8-0cd1784030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0B4766-8520-4060-87E8-BD8665F118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C730F4-578E-465F-903A-F90343CE4A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146f5-55f1-4b43-9d4c-d7e469445073"/>
    <ds:schemaRef ds:uri="c03363dc-e365-4fcf-b9b8-0cd1784030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5A979D-1A6B-496F-AB4E-87FF8BEC0B46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c03363dc-e365-4fcf-b9b8-0cd1784030d8"/>
    <ds:schemaRef ds:uri="http://schemas.microsoft.com/office/infopath/2007/PartnerControls"/>
    <ds:schemaRef ds:uri="50b146f5-55f1-4b43-9d4c-d7e46944507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 del contrato</vt:lpstr>
      <vt:lpstr>Tablas</vt:lpstr>
      <vt:lpstr>Hoja1</vt:lpstr>
      <vt:lpstr>'Datos del contrato'!Área_de_impresión</vt:lpstr>
    </vt:vector>
  </TitlesOfParts>
  <Company>Pampa Energía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Nicolas Leonelli</dc:creator>
  <cp:lastModifiedBy>Nelson Gomez Arevalos</cp:lastModifiedBy>
  <cp:lastPrinted>2025-02-11T15:35:05Z</cp:lastPrinted>
  <dcterms:created xsi:type="dcterms:W3CDTF">2020-05-12T19:02:42Z</dcterms:created>
  <dcterms:modified xsi:type="dcterms:W3CDTF">2025-03-14T19:27:41Z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0x0101007C9C205FCC4CD6459E3E81B5FE82337D</vt:lpwstr>
  </property>
</Properties>
</file>