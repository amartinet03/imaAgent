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masi.sharepoint.com/sites/EstudioPropuestas2026/Documentos compartidos/1334-METROGAS-SERVICIO MANTENIMIENTO PREVENTIVO Y/00-ET/Inicial-1334/Doc5708245518/"/>
    </mc:Choice>
  </mc:AlternateContent>
  <xr:revisionPtr revIDLastSave="42" documentId="11_48238983C954B5694E944E7FBAD4AEBFC5F8EE73" xr6:coauthVersionLast="47" xr6:coauthVersionMax="47" xr10:uidLastSave="{19F33483-5174-45BC-BBD6-E3ADEC073ED3}"/>
  <bookViews>
    <workbookView xWindow="-108" yWindow="-108" windowWidth="23256" windowHeight="12456" xr2:uid="{00000000-000D-0000-FFFF-FFFF00000000}"/>
  </bookViews>
  <sheets>
    <sheet name="ITEM ANDAM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6" i="1"/>
  <c r="F13" i="1" l="1"/>
  <c r="F11" i="1"/>
  <c r="F10" i="1"/>
  <c r="F8" i="1"/>
  <c r="F7" i="1"/>
  <c r="F14" i="1" l="1"/>
</calcChain>
</file>

<file path=xl/sharedStrings.xml><?xml version="1.0" encoding="utf-8"?>
<sst xmlns="http://schemas.openxmlformats.org/spreadsheetml/2006/main" count="41" uniqueCount="37">
  <si>
    <t>PROVISIÓN Y ALQUILER DE ANDAMIOS — ÍTEM A INCORPORAR EN PLANILLA DE COTIZACIÓN</t>
  </si>
  <si>
    <t>MetroGAS S.A. — Mano de Obra de Mantenimiento Edilicio</t>
  </si>
  <si>
    <t>#</t>
  </si>
  <si>
    <t>DESCRIPCIÓN</t>
  </si>
  <si>
    <t>UNIDAD</t>
  </si>
  <si>
    <t>CANT. EST.
(mensual)</t>
  </si>
  <si>
    <t>P. UNITARIO
($)</t>
  </si>
  <si>
    <t>OBSERVACIONES</t>
  </si>
  <si>
    <t xml:space="preserve">  1  ANDAMIO TUBULAR</t>
  </si>
  <si>
    <t>1.1</t>
  </si>
  <si>
    <t>Alquiler andamio tubular — hasta 4 m de altura</t>
  </si>
  <si>
    <t>Jornada</t>
  </si>
  <si>
    <t>Trabajos de revoque, pintura y reparaciones en fachada o interior hasta 4 m</t>
  </si>
  <si>
    <t>1.2</t>
  </si>
  <si>
    <t>Alquiler andamio tubular — de 4 m a 8 m de altura</t>
  </si>
  <si>
    <t>Incluye refuerzo de estructura y plataformas intermedias</t>
  </si>
  <si>
    <t>1.3</t>
  </si>
  <si>
    <t>Armado y desarmado de andamio tubular (por evento)</t>
  </si>
  <si>
    <t>Evento</t>
  </si>
  <si>
    <t>Mano de obra de armado/desarmado por cuadrilla habilitada</t>
  </si>
  <si>
    <t xml:space="preserve">  2  ANDAMIO RODANTE (TORRE MÓVIL)</t>
  </si>
  <si>
    <t>2.1</t>
  </si>
  <si>
    <t>Alquiler andamio rodante — hasta 4 m de altura</t>
  </si>
  <si>
    <t>Para trabajos interiores: cielorrasos, luminarias, instalaciones</t>
  </si>
  <si>
    <t>2.2</t>
  </si>
  <si>
    <t>Alquiler andamio rodante — de 4 m a 6 m de altura</t>
  </si>
  <si>
    <t>Incluye base estabilizadora y ruedas con freno</t>
  </si>
  <si>
    <t xml:space="preserve">  3  CONDICIONES GENERALES</t>
  </si>
  <si>
    <t>3.1</t>
  </si>
  <si>
    <t>Inspección previa al uso — Res. SRT 550/11 (por evento)</t>
  </si>
  <si>
    <t>Registro firmado por responsable habilitado antes de cada uso</t>
  </si>
  <si>
    <t>NOTAS: (1) Las cantidades estimadas son orientativas — se factura según partes de uso aprobados por MetroGAS. (2) El contratista es responsable del armado, uso y desarmado. (3) Res. SRT 550/11 de cumplimiento obligatorio. (4) Plataformas elevadoras: provisión a cargo de MetroGAS.</t>
  </si>
  <si>
    <t>SUBTOTAL MENSUAL
($)</t>
  </si>
  <si>
    <t>SUBTOTAL ANUAL
($)</t>
  </si>
  <si>
    <t>Condición de pago: 60 días fecha presentación de facturas.</t>
  </si>
  <si>
    <r>
      <t xml:space="preserve">Provisión y Alquiler de Andamios|  Valores en Pesos Argentinos sin IVA — </t>
    </r>
    <r>
      <rPr>
        <b/>
        <i/>
        <sz val="8"/>
        <color rgb="FFFF0000"/>
        <rFont val="Arial"/>
        <family val="2"/>
      </rPr>
      <t>Abril 2026</t>
    </r>
  </si>
  <si>
    <t>TOTAL ESTIMADO — ANDAMIOS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</si>
</sst>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i/>
      <sz val="8"/>
      <color rgb="FF595959"/>
      <name val="Arial"/>
    </font>
    <font>
      <i/>
      <sz val="8"/>
      <color rgb="FF555555"/>
      <name val="Arial"/>
      <family val="2"/>
    </font>
    <font>
      <b/>
      <i/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4" fontId="6" fillId="8" borderId="2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10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8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showGridLines="0" tabSelected="1" workbookViewId="0">
      <selection activeCell="D19" sqref="D19"/>
    </sheetView>
  </sheetViews>
  <sheetFormatPr baseColWidth="10" defaultColWidth="8.6640625" defaultRowHeight="14.4" x14ac:dyDescent="0.3"/>
  <cols>
    <col min="1" max="1" width="5" customWidth="1"/>
    <col min="2" max="2" width="50.5546875" customWidth="1"/>
    <col min="3" max="3" width="12" customWidth="1"/>
    <col min="4" max="7" width="16" customWidth="1"/>
    <col min="8" max="8" width="62.6640625" customWidth="1"/>
  </cols>
  <sheetData>
    <row r="1" spans="1:8" ht="26.1" customHeight="1" x14ac:dyDescent="0.3">
      <c r="A1" s="13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9" t="s">
        <v>1</v>
      </c>
      <c r="B2" s="14"/>
      <c r="C2" s="14"/>
      <c r="D2" s="14"/>
      <c r="E2" s="14"/>
      <c r="F2" s="14"/>
      <c r="G2" s="14"/>
      <c r="H2" s="14"/>
    </row>
    <row r="3" spans="1:8" x14ac:dyDescent="0.3">
      <c r="A3" s="21" t="s">
        <v>35</v>
      </c>
      <c r="B3" s="21"/>
      <c r="C3" s="21"/>
      <c r="D3" s="21"/>
      <c r="E3" s="21"/>
      <c r="F3" s="21"/>
      <c r="G3" s="21"/>
      <c r="H3" s="21"/>
    </row>
    <row r="4" spans="1:8" ht="48.4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32</v>
      </c>
      <c r="G4" s="1" t="s">
        <v>33</v>
      </c>
      <c r="H4" s="1" t="s">
        <v>7</v>
      </c>
    </row>
    <row r="5" spans="1:8" ht="22.05" customHeight="1" x14ac:dyDescent="0.3">
      <c r="A5" s="20" t="s">
        <v>8</v>
      </c>
      <c r="B5" s="14"/>
      <c r="C5" s="14"/>
      <c r="D5" s="14"/>
      <c r="E5" s="14"/>
      <c r="F5" s="14"/>
      <c r="G5" s="14"/>
      <c r="H5" s="14"/>
    </row>
    <row r="6" spans="1:8" ht="22.05" customHeight="1" x14ac:dyDescent="0.3">
      <c r="A6" s="2" t="s">
        <v>9</v>
      </c>
      <c r="B6" s="3" t="s">
        <v>10</v>
      </c>
      <c r="C6" s="4" t="s">
        <v>11</v>
      </c>
      <c r="D6" s="4">
        <v>12</v>
      </c>
      <c r="E6" s="5"/>
      <c r="F6" s="5">
        <f>IF(D6="","",D6*E6)</f>
        <v>0</v>
      </c>
      <c r="G6" s="5"/>
      <c r="H6" s="3" t="s">
        <v>12</v>
      </c>
    </row>
    <row r="7" spans="1:8" ht="22.05" customHeight="1" x14ac:dyDescent="0.3">
      <c r="A7" s="6" t="s">
        <v>13</v>
      </c>
      <c r="B7" s="7" t="s">
        <v>14</v>
      </c>
      <c r="C7" s="8" t="s">
        <v>11</v>
      </c>
      <c r="D7" s="8">
        <v>12</v>
      </c>
      <c r="E7" s="9"/>
      <c r="F7" s="9">
        <f>IF(D7="","",D7*E7)</f>
        <v>0</v>
      </c>
      <c r="G7" s="9"/>
      <c r="H7" s="7" t="s">
        <v>15</v>
      </c>
    </row>
    <row r="8" spans="1:8" ht="22.05" customHeight="1" x14ac:dyDescent="0.3">
      <c r="A8" s="2" t="s">
        <v>16</v>
      </c>
      <c r="B8" s="3" t="s">
        <v>17</v>
      </c>
      <c r="C8" s="4" t="s">
        <v>18</v>
      </c>
      <c r="D8" s="4">
        <v>12</v>
      </c>
      <c r="E8" s="5"/>
      <c r="F8" s="5">
        <f>IF(D8="","",D8*E8)</f>
        <v>0</v>
      </c>
      <c r="G8" s="5"/>
      <c r="H8" s="3" t="s">
        <v>19</v>
      </c>
    </row>
    <row r="9" spans="1:8" ht="22.05" customHeight="1" x14ac:dyDescent="0.3">
      <c r="A9" s="16" t="s">
        <v>20</v>
      </c>
      <c r="B9" s="14"/>
      <c r="C9" s="14"/>
      <c r="D9" s="14"/>
      <c r="E9" s="14"/>
      <c r="F9" s="14"/>
      <c r="G9" s="14"/>
      <c r="H9" s="14"/>
    </row>
    <row r="10" spans="1:8" ht="22.05" customHeight="1" x14ac:dyDescent="0.3">
      <c r="A10" s="2" t="s">
        <v>21</v>
      </c>
      <c r="B10" s="3" t="s">
        <v>22</v>
      </c>
      <c r="C10" s="4" t="s">
        <v>11</v>
      </c>
      <c r="D10" s="4">
        <v>12</v>
      </c>
      <c r="E10" s="5"/>
      <c r="F10" s="5">
        <f>IF(D10="","",D10*E10)</f>
        <v>0</v>
      </c>
      <c r="G10" s="5"/>
      <c r="H10" s="3" t="s">
        <v>23</v>
      </c>
    </row>
    <row r="11" spans="1:8" ht="22.05" customHeight="1" x14ac:dyDescent="0.3">
      <c r="A11" s="6" t="s">
        <v>24</v>
      </c>
      <c r="B11" s="7" t="s">
        <v>25</v>
      </c>
      <c r="C11" s="8" t="s">
        <v>11</v>
      </c>
      <c r="D11" s="8">
        <v>12</v>
      </c>
      <c r="E11" s="9"/>
      <c r="F11" s="9">
        <f>IF(D11="","",D11*E11)</f>
        <v>0</v>
      </c>
      <c r="G11" s="9"/>
      <c r="H11" s="7" t="s">
        <v>26</v>
      </c>
    </row>
    <row r="12" spans="1:8" ht="22.05" customHeight="1" x14ac:dyDescent="0.3">
      <c r="A12" s="18" t="s">
        <v>27</v>
      </c>
      <c r="B12" s="14"/>
      <c r="C12" s="14"/>
      <c r="D12" s="14"/>
      <c r="E12" s="14"/>
      <c r="F12" s="14"/>
      <c r="G12" s="14"/>
      <c r="H12" s="14"/>
    </row>
    <row r="13" spans="1:8" ht="22.05" customHeight="1" thickBot="1" x14ac:dyDescent="0.35">
      <c r="A13" s="2" t="s">
        <v>28</v>
      </c>
      <c r="B13" s="3" t="s">
        <v>29</v>
      </c>
      <c r="C13" s="4" t="s">
        <v>18</v>
      </c>
      <c r="D13" s="4">
        <v>12</v>
      </c>
      <c r="E13" s="5"/>
      <c r="F13" s="5">
        <f>IF(D13="","",D13*E13)</f>
        <v>0</v>
      </c>
      <c r="G13" s="5"/>
      <c r="H13" s="3" t="s">
        <v>30</v>
      </c>
    </row>
    <row r="14" spans="1:8" ht="24" customHeight="1" thickBot="1" x14ac:dyDescent="0.35">
      <c r="A14" s="17" t="s">
        <v>36</v>
      </c>
      <c r="B14" s="14"/>
      <c r="C14" s="14"/>
      <c r="D14" s="14"/>
      <c r="E14" s="14"/>
      <c r="F14" s="10">
        <f>IFERROR(F6+F7+F8+F10+F11+#REF!+F13,0)</f>
        <v>0</v>
      </c>
      <c r="G14" s="10">
        <f>IFERROR(G6+G7+G8+G10+G11+#REF!+G13,0)</f>
        <v>0</v>
      </c>
      <c r="H14" s="11"/>
    </row>
    <row r="16" spans="1:8" ht="22.95" customHeight="1" x14ac:dyDescent="0.3">
      <c r="A16" s="15" t="s">
        <v>31</v>
      </c>
      <c r="B16" s="14"/>
      <c r="C16" s="14"/>
      <c r="D16" s="14"/>
      <c r="E16" s="14"/>
      <c r="F16" s="14"/>
      <c r="G16" s="14"/>
      <c r="H16" s="14"/>
    </row>
    <row r="17" spans="1:1" x14ac:dyDescent="0.3">
      <c r="A17" s="12" t="s">
        <v>34</v>
      </c>
    </row>
  </sheetData>
  <mergeCells count="8">
    <mergeCell ref="A1:H1"/>
    <mergeCell ref="A16:H16"/>
    <mergeCell ref="A9:H9"/>
    <mergeCell ref="A14:E14"/>
    <mergeCell ref="A12:H12"/>
    <mergeCell ref="A2:H2"/>
    <mergeCell ref="A5:H5"/>
    <mergeCell ref="A3:H3"/>
  </mergeCells>
  <pageMargins left="0.74803149606299213" right="0.74803149606299213" top="0.98425196850393704" bottom="0.98425196850393704" header="0.51181102362204722" footer="0.51181102362204722"/>
  <pageSetup paperSize="9"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6c7bf8-4ce7-4db2-81a6-3f2fb3ee6412">
      <Terms xmlns="http://schemas.microsoft.com/office/infopath/2007/PartnerControls"/>
    </lcf76f155ced4ddcb4097134ff3c332f>
    <TaxCatchAll xmlns="cf1c41ac-5426-47ae-a216-78ef3a736f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007766-BBA6-4F04-8480-49C1EF5804AC}">
  <ds:schemaRefs>
    <ds:schemaRef ds:uri="http://schemas.microsoft.com/office/2006/metadata/properties"/>
    <ds:schemaRef ds:uri="http://schemas.microsoft.com/office/infopath/2007/PartnerControls"/>
    <ds:schemaRef ds:uri="64cfb398-c3be-40f5-8880-713c03623c5b"/>
    <ds:schemaRef ds:uri="65f36634-cd96-426c-8938-a4be8d401c16"/>
    <ds:schemaRef ds:uri="7b6c7bf8-4ce7-4db2-81a6-3f2fb3ee6412"/>
    <ds:schemaRef ds:uri="cf1c41ac-5426-47ae-a216-78ef3a736f94"/>
  </ds:schemaRefs>
</ds:datastoreItem>
</file>

<file path=customXml/itemProps2.xml><?xml version="1.0" encoding="utf-8"?>
<ds:datastoreItem xmlns:ds="http://schemas.openxmlformats.org/officeDocument/2006/customXml" ds:itemID="{0FD73B2E-583E-4C8C-A511-1EA9BAD14C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DD6B3E-612F-4B2C-886B-6F8B53E883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c7bf8-4ce7-4db2-81a6-3f2fb3ee6412"/>
    <ds:schemaRef ds:uri="cf1c41ac-5426-47ae-a216-78ef3a736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 ANDAMIOS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Martinet (IMA Argentina - Holdas Latam)</cp:lastModifiedBy>
  <cp:lastPrinted>2026-06-09T15:09:55Z</cp:lastPrinted>
  <dcterms:created xsi:type="dcterms:W3CDTF">2026-05-12T16:12:16Z</dcterms:created>
  <dcterms:modified xsi:type="dcterms:W3CDTF">2026-06-09T15:10:00Z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ediaServiceImageTags">
    <vt:lpwstr/>
  </property>
</Properties>
</file>