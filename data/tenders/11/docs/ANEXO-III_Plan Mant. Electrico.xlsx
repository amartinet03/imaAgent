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masi.sharepoint.com/sites/EstudioPropuestas2026/Documentos compartidos/1334-METROGAS-SERVICIO MANTENIMIENTO PREVENTIVO Y/00-ET/Inicial-1334/Doc5708245518/"/>
    </mc:Choice>
  </mc:AlternateContent>
  <xr:revisionPtr revIDLastSave="59" documentId="8_{FE3289DB-86A2-4C62-9AC0-56E4B02AEB31}" xr6:coauthVersionLast="47" xr6:coauthVersionMax="47" xr10:uidLastSave="{8CF4FB81-4335-47E4-B114-2DFB1FE3E54D}"/>
  <bookViews>
    <workbookView xWindow="-108" yWindow="-108" windowWidth="23256" windowHeight="12456" xr2:uid="{00000000-000D-0000-FFFF-FFFF00000000}"/>
  </bookViews>
  <sheets>
    <sheet name="Calendario Anual" sheetId="1" r:id="rId1"/>
    <sheet name="HH Preventivo por M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8" i="2" l="1"/>
  <c r="M98" i="2"/>
  <c r="L98" i="2"/>
  <c r="K98" i="2"/>
  <c r="J98" i="2"/>
  <c r="I98" i="2"/>
  <c r="H98" i="2"/>
  <c r="G98" i="2"/>
  <c r="F98" i="2"/>
  <c r="E98" i="2"/>
  <c r="D98" i="2"/>
  <c r="C98" i="2"/>
  <c r="O97" i="2"/>
  <c r="P97" i="2" s="1"/>
  <c r="P96" i="2"/>
  <c r="O96" i="2"/>
  <c r="O95" i="2"/>
  <c r="P95" i="2" s="1"/>
  <c r="O94" i="2"/>
  <c r="P94" i="2" s="1"/>
  <c r="O93" i="2"/>
  <c r="P93" i="2" s="1"/>
  <c r="O92" i="2"/>
  <c r="P92" i="2" s="1"/>
  <c r="O91" i="2"/>
  <c r="P91" i="2" s="1"/>
  <c r="O90" i="2"/>
  <c r="P90" i="2" s="1"/>
  <c r="O89" i="2"/>
  <c r="P89" i="2" s="1"/>
  <c r="O88" i="2"/>
  <c r="P88" i="2" s="1"/>
  <c r="O87" i="2"/>
  <c r="P87" i="2" s="1"/>
  <c r="O86" i="2"/>
  <c r="P86" i="2" s="1"/>
  <c r="O85" i="2"/>
  <c r="P85" i="2" s="1"/>
  <c r="O84" i="2"/>
  <c r="P84" i="2" s="1"/>
  <c r="O83" i="2"/>
  <c r="P83" i="2" s="1"/>
  <c r="O82" i="2"/>
  <c r="P82" i="2" s="1"/>
  <c r="O81" i="2"/>
  <c r="P81" i="2" s="1"/>
  <c r="O80" i="2"/>
  <c r="P80" i="2" s="1"/>
  <c r="O79" i="2"/>
  <c r="P79" i="2" s="1"/>
  <c r="O78" i="2"/>
  <c r="P78" i="2" s="1"/>
  <c r="O77" i="2"/>
  <c r="P77" i="2" s="1"/>
  <c r="O76" i="2"/>
  <c r="P76" i="2" s="1"/>
  <c r="O75" i="2"/>
  <c r="P75" i="2" s="1"/>
  <c r="O74" i="2"/>
  <c r="P74" i="2" s="1"/>
  <c r="O73" i="2"/>
  <c r="P73" i="2" s="1"/>
  <c r="O72" i="2"/>
  <c r="P72" i="2" s="1"/>
  <c r="O71" i="2"/>
  <c r="P71" i="2" s="1"/>
  <c r="O70" i="2"/>
  <c r="P70" i="2" s="1"/>
  <c r="O69" i="2"/>
  <c r="P69" i="2" s="1"/>
  <c r="O68" i="2"/>
  <c r="P68" i="2" s="1"/>
  <c r="O67" i="2"/>
  <c r="P67" i="2" s="1"/>
  <c r="O66" i="2"/>
  <c r="P66" i="2" s="1"/>
  <c r="O65" i="2"/>
  <c r="P65" i="2" s="1"/>
  <c r="O64" i="2"/>
  <c r="P64" i="2" s="1"/>
  <c r="O63" i="2"/>
  <c r="P63" i="2" s="1"/>
  <c r="O62" i="2"/>
  <c r="P62" i="2" s="1"/>
  <c r="O61" i="2"/>
  <c r="P61" i="2" s="1"/>
  <c r="O60" i="2"/>
  <c r="P60" i="2" s="1"/>
  <c r="O59" i="2"/>
  <c r="P59" i="2" s="1"/>
  <c r="O58" i="2"/>
  <c r="P58" i="2" s="1"/>
  <c r="O57" i="2"/>
  <c r="P57" i="2" s="1"/>
  <c r="O56" i="2"/>
  <c r="P56" i="2" s="1"/>
  <c r="O55" i="2"/>
  <c r="P55" i="2" s="1"/>
  <c r="O54" i="2"/>
  <c r="P54" i="2" s="1"/>
  <c r="O53" i="2"/>
  <c r="P53" i="2" s="1"/>
  <c r="O52" i="2"/>
  <c r="P52" i="2" s="1"/>
  <c r="O51" i="2"/>
  <c r="P51" i="2" s="1"/>
  <c r="O50" i="2"/>
  <c r="P50" i="2" s="1"/>
  <c r="O49" i="2"/>
  <c r="P49" i="2" s="1"/>
  <c r="O48" i="2"/>
  <c r="P48" i="2" s="1"/>
  <c r="O47" i="2"/>
  <c r="P47" i="2" s="1"/>
  <c r="O46" i="2"/>
  <c r="P46" i="2" s="1"/>
  <c r="O45" i="2"/>
  <c r="P45" i="2" s="1"/>
  <c r="O44" i="2"/>
  <c r="P44" i="2" s="1"/>
  <c r="O43" i="2"/>
  <c r="P43" i="2" s="1"/>
  <c r="O42" i="2"/>
  <c r="P42" i="2" s="1"/>
  <c r="O41" i="2"/>
  <c r="P41" i="2" s="1"/>
  <c r="O40" i="2"/>
  <c r="P40" i="2" s="1"/>
  <c r="O39" i="2"/>
  <c r="P39" i="2" s="1"/>
  <c r="O38" i="2"/>
  <c r="P38" i="2" s="1"/>
  <c r="O37" i="2"/>
  <c r="P37" i="2" s="1"/>
  <c r="O36" i="2"/>
  <c r="P36" i="2" s="1"/>
  <c r="O35" i="2"/>
  <c r="P35" i="2" s="1"/>
  <c r="O34" i="2"/>
  <c r="P34" i="2" s="1"/>
  <c r="O33" i="2"/>
  <c r="P33" i="2" s="1"/>
  <c r="O32" i="2"/>
  <c r="P32" i="2" s="1"/>
  <c r="O31" i="2"/>
  <c r="P31" i="2" s="1"/>
  <c r="O30" i="2"/>
  <c r="P30" i="2" s="1"/>
  <c r="O29" i="2"/>
  <c r="P29" i="2" s="1"/>
  <c r="O28" i="2"/>
  <c r="P28" i="2" s="1"/>
  <c r="O27" i="2"/>
  <c r="P27" i="2" s="1"/>
  <c r="O26" i="2"/>
  <c r="P26" i="2" s="1"/>
  <c r="O25" i="2"/>
  <c r="P25" i="2" s="1"/>
  <c r="O24" i="2"/>
  <c r="P24" i="2" s="1"/>
  <c r="O23" i="2"/>
  <c r="P23" i="2" s="1"/>
  <c r="O22" i="2"/>
  <c r="P22" i="2" s="1"/>
  <c r="O21" i="2"/>
  <c r="P21" i="2" s="1"/>
  <c r="O20" i="2"/>
  <c r="P20" i="2" s="1"/>
  <c r="O19" i="2"/>
  <c r="P19" i="2" s="1"/>
  <c r="O18" i="2"/>
  <c r="P18" i="2" s="1"/>
  <c r="O17" i="2"/>
  <c r="P17" i="2" s="1"/>
  <c r="O16" i="2"/>
  <c r="P16" i="2" s="1"/>
  <c r="O15" i="2"/>
  <c r="P15" i="2" s="1"/>
  <c r="O14" i="2"/>
  <c r="P14" i="2" s="1"/>
  <c r="O13" i="2"/>
  <c r="P13" i="2" s="1"/>
  <c r="O12" i="2"/>
  <c r="P12" i="2" s="1"/>
  <c r="O11" i="2"/>
  <c r="P11" i="2" s="1"/>
  <c r="O10" i="2"/>
  <c r="P10" i="2" s="1"/>
  <c r="O9" i="2"/>
  <c r="P9" i="2" s="1"/>
  <c r="O8" i="2"/>
  <c r="P8" i="2" s="1"/>
  <c r="O7" i="2"/>
  <c r="P7" i="2" s="1"/>
  <c r="O6" i="2"/>
  <c r="P6" i="2" s="1"/>
  <c r="O5" i="2"/>
  <c r="P5" i="2" s="1"/>
  <c r="O98" i="2" l="1"/>
  <c r="P98" i="2" s="1"/>
</calcChain>
</file>

<file path=xl/sharedStrings.xml><?xml version="1.0" encoding="utf-8"?>
<sst xmlns="http://schemas.openxmlformats.org/spreadsheetml/2006/main" count="927" uniqueCount="53">
  <si>
    <t>MetroGAS S.A. — Plan de Mantenimiento Preventivo Eléctrico</t>
  </si>
  <si>
    <t>Calendario de Frecuencias por Locación  |  Vigencia: 2026  |  Contratista: Mano de Obra Eléctrica  |  HH calibradas = 21 HH/mes</t>
  </si>
  <si>
    <t xml:space="preserve">  ●  INSPECCIÓN VISUAL     ●  PRUEBA DIFERENCIALES     ●  TÉRMICAS     ●  BORNERAS     ●  PAT VISUAL     ●  UPS     ●  TERMOGRAFÍA (Abr)     ●  PAT FORMAL (Abr)</t>
  </si>
  <si>
    <t>Locación</t>
  </si>
  <si>
    <t>Tarea Preventiva</t>
  </si>
  <si>
    <t>Frecuencia</t>
  </si>
  <si>
    <t>HH Est.
por visita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</si>
  <si>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</si>
  <si>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</si>
  <si>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</si>
  <si>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</si>
  <si>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</si>
  <si>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</si>
  <si>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</si>
  <si>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</si>
  <si>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</si>
  <si>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</si>
  <si>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</si>
  <si>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</si>
  <si>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Llavallol</t>
  </si>
  <si>
    <t>Inspección visual tableros: estado, señalización, temperatura al tacto</t>
  </si>
  <si>
    <t>Mensual</t>
  </si>
  <si>
    <t>✔</t>
  </si>
  <si>
    <t>Prueba de disparo interruptores diferenciales — IEC 61008</t>
  </si>
  <si>
    <t>Trimestral</t>
  </si>
  <si>
    <t>Verificación y ajuste de interruptores termomagnéticos</t>
  </si>
  <si>
    <t>Limpieza interna y ajuste de borneras en tableros</t>
  </si>
  <si>
    <t>Semestral</t>
  </si>
  <si>
    <t>Verificación visual continuidad PAT — inspección sin medición</t>
  </si>
  <si>
    <t>Revisión UPS: baterías, autonomía, alarmas y ventilación</t>
  </si>
  <si>
    <t>Termografía de tableros — reporte fotográfico con temperatura (cámara MetroGAS)</t>
  </si>
  <si>
    <t>Anual (Abr)</t>
  </si>
  <si>
    <t>Medición formal de resistencia de PAT — informe firmado (AEA 90364)</t>
  </si>
  <si>
    <t>Lope de Vega</t>
  </si>
  <si>
    <t>Ombú</t>
  </si>
  <si>
    <t>Lamadrid 1240</t>
  </si>
  <si>
    <t>CET</t>
  </si>
  <si>
    <t>CPD</t>
  </si>
  <si>
    <t>Edif. Servicios</t>
  </si>
  <si>
    <t>Floresta</t>
  </si>
  <si>
    <t>Magallanes 1491</t>
  </si>
  <si>
    <t>Bernal</t>
  </si>
  <si>
    <t>Quilmes</t>
  </si>
  <si>
    <t>Azara 690</t>
  </si>
  <si>
    <t>MetroGAS S.A. — Resumen de HH Preventivo Eléctrico por Mes</t>
  </si>
  <si>
    <t>Horas Hombre estimadas por tarea y mes — calibradas según PP-MAN-00x (256 HH/año = 21 HH/mes)</t>
  </si>
  <si>
    <t>TOTAL HH</t>
  </si>
  <si>
    <t>HH/mes prom.</t>
  </si>
  <si>
    <t>TOTAL HH PREVENTIVO POR MES</t>
  </si>
  <si>
    <t>📊 Total anual: 275 HH/año = 22.9 HH/mes promedio. PP-MAN-00x: 256 HH/año ✔  Abril es el mes pico: termografía + medición PAT formal en todas las locaciones. UPS aplica a 10 locaciones (Floresta y Quilmes sin UPS).</t>
  </si>
  <si>
    <t>Lomas</t>
  </si>
  <si>
    <t>Jovellanos</t>
  </si>
  <si>
    <t>✔ = tarea programada para ese mes.  Nov destacado = mes pico (termografía + PAT formal en todas las locaciones).  UPS aplica solo a locaciones con sistema de respaldo.  HH calibradas según PP-MAN-00 y planilla de cotización (21 HH/mes).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</si>
</sst>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9"/>
      <color rgb="FF555555"/>
      <name val="Arial"/>
      <family val="2"/>
    </font>
    <font>
      <sz val="8"/>
      <color rgb="FF333333"/>
      <name val="Arial"/>
      <family val="2"/>
    </font>
    <font>
      <b/>
      <sz val="9"/>
      <color rgb="FFFFFFFF"/>
      <name val="Arial"/>
      <family val="2"/>
    </font>
    <font>
      <b/>
      <sz val="9"/>
      <color rgb="FF1F4E79"/>
      <name val="Arial"/>
      <family val="2"/>
    </font>
    <font>
      <sz val="9"/>
      <color rgb="FF1A1A1A"/>
      <name val="Arial"/>
      <family val="2"/>
    </font>
    <font>
      <i/>
      <sz val="8"/>
      <color rgb="FF595959"/>
      <name val="Arial"/>
      <family val="2"/>
    </font>
    <font>
      <b/>
      <sz val="12"/>
      <color rgb="FFFFFFFF"/>
      <name val="Arial"/>
      <family val="2"/>
    </font>
    <font>
      <sz val="8"/>
      <color rgb="FF555555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2F2F2"/>
      </patternFill>
    </fill>
    <fill>
      <patternFill patternType="solid">
        <fgColor rgb="FFE65100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CE4D6"/>
      </patternFill>
    </fill>
    <fill>
      <patternFill patternType="solid">
        <fgColor rgb="FFDDDDDD"/>
      </patternFill>
    </fill>
    <fill>
      <patternFill patternType="solid">
        <fgColor rgb="FFF3E5F5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E0F2F1"/>
      </patternFill>
    </fill>
    <fill>
      <patternFill patternType="solid">
        <fgColor rgb="FFF1F8E9"/>
      </patternFill>
    </fill>
    <fill>
      <patternFill patternType="solid">
        <fgColor rgb="FFE3F2FD"/>
      </patternFill>
    </fill>
    <fill>
      <patternFill patternType="solid">
        <fgColor rgb="FFF9FBE7"/>
      </patternFill>
    </fill>
    <fill>
      <patternFill patternType="solid">
        <fgColor rgb="FFEDE7F6"/>
      </patternFill>
    </fill>
    <fill>
      <patternFill patternType="solid">
        <fgColor rgb="FFE0F7FA"/>
      </patternFill>
    </fill>
    <fill>
      <patternFill patternType="solid">
        <fgColor rgb="FFFFF3E0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9" fillId="3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9" borderId="0" xfId="0" applyFill="1"/>
    <xf numFmtId="0" fontId="7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27"/>
  <sheetViews>
    <sheetView showGridLines="0" tabSelected="1" workbookViewId="0">
      <pane ySplit="5" topLeftCell="A6" activePane="bottomLeft" state="frozen"/>
      <selection pane="bottomLeft" activeCell="B132" sqref="B132"/>
    </sheetView>
  </sheetViews>
  <sheetFormatPr baseColWidth="10" defaultColWidth="8.77734375" defaultRowHeight="14.4" x14ac:dyDescent="0.3"/>
  <cols>
    <col min="1" max="1" width="26" customWidth="1"/>
    <col min="2" max="2" width="66.21875" customWidth="1"/>
    <col min="3" max="3" width="14" customWidth="1"/>
    <col min="4" max="4" width="11" customWidth="1"/>
    <col min="5" max="16" width="7" customWidth="1"/>
  </cols>
  <sheetData>
    <row r="1" spans="1:16" ht="30" customHeight="1" x14ac:dyDescent="0.3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 ht="13.95" customHeight="1" x14ac:dyDescent="0.3">
      <c r="A2" s="30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ht="13.95" customHeight="1" x14ac:dyDescent="0.3">
      <c r="A3" s="29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ht="6" customHeight="1" x14ac:dyDescent="0.3"/>
    <row r="5" spans="1:16" ht="28.05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2" t="s">
        <v>17</v>
      </c>
      <c r="P5" s="1" t="s">
        <v>18</v>
      </c>
    </row>
    <row r="6" spans="1:16" ht="18" customHeight="1" x14ac:dyDescent="0.3">
      <c r="A6" s="22" t="s">
        <v>19</v>
      </c>
      <c r="B6" s="23" t="s">
        <v>20</v>
      </c>
      <c r="C6" s="4" t="s">
        <v>21</v>
      </c>
      <c r="D6" s="5">
        <v>1</v>
      </c>
      <c r="E6" s="24" t="s">
        <v>22</v>
      </c>
      <c r="F6" s="24" t="s">
        <v>22</v>
      </c>
      <c r="G6" s="24" t="s">
        <v>22</v>
      </c>
      <c r="H6" s="24" t="s">
        <v>22</v>
      </c>
      <c r="I6" s="24" t="s">
        <v>22</v>
      </c>
      <c r="J6" s="24" t="s">
        <v>22</v>
      </c>
      <c r="K6" s="24" t="s">
        <v>22</v>
      </c>
      <c r="L6" s="24" t="s">
        <v>22</v>
      </c>
      <c r="M6" s="24" t="s">
        <v>22</v>
      </c>
      <c r="N6" s="24" t="s">
        <v>22</v>
      </c>
      <c r="O6" s="24" t="s">
        <v>22</v>
      </c>
      <c r="P6" s="24" t="s">
        <v>22</v>
      </c>
    </row>
    <row r="7" spans="1:16" ht="18" customHeight="1" x14ac:dyDescent="0.3">
      <c r="A7" s="22" t="s">
        <v>19</v>
      </c>
      <c r="B7" s="23" t="s">
        <v>23</v>
      </c>
      <c r="C7" s="4" t="s">
        <v>24</v>
      </c>
      <c r="D7" s="5">
        <v>1</v>
      </c>
      <c r="E7" s="6"/>
      <c r="F7" s="6"/>
      <c r="G7" s="24" t="s">
        <v>22</v>
      </c>
      <c r="H7" s="6"/>
      <c r="I7" s="6"/>
      <c r="J7" s="24" t="s">
        <v>22</v>
      </c>
      <c r="K7" s="6"/>
      <c r="L7" s="6"/>
      <c r="M7" s="24" t="s">
        <v>22</v>
      </c>
      <c r="N7" s="6"/>
      <c r="O7" s="6"/>
      <c r="P7" s="24" t="s">
        <v>22</v>
      </c>
    </row>
    <row r="8" spans="1:16" ht="18" customHeight="1" x14ac:dyDescent="0.3">
      <c r="A8" s="22" t="s">
        <v>19</v>
      </c>
      <c r="B8" s="23" t="s">
        <v>25</v>
      </c>
      <c r="C8" s="4" t="s">
        <v>24</v>
      </c>
      <c r="D8" s="5">
        <v>1</v>
      </c>
      <c r="E8" s="6"/>
      <c r="F8" s="6"/>
      <c r="G8" s="24" t="s">
        <v>22</v>
      </c>
      <c r="H8" s="6"/>
      <c r="I8" s="6"/>
      <c r="J8" s="24" t="s">
        <v>22</v>
      </c>
      <c r="K8" s="6"/>
      <c r="L8" s="6"/>
      <c r="M8" s="24" t="s">
        <v>22</v>
      </c>
      <c r="N8" s="6"/>
      <c r="O8" s="6"/>
      <c r="P8" s="24" t="s">
        <v>22</v>
      </c>
    </row>
    <row r="9" spans="1:16" ht="18" customHeight="1" x14ac:dyDescent="0.3">
      <c r="A9" s="22" t="s">
        <v>19</v>
      </c>
      <c r="B9" s="23" t="s">
        <v>26</v>
      </c>
      <c r="C9" s="4" t="s">
        <v>27</v>
      </c>
      <c r="D9" s="5">
        <v>1</v>
      </c>
      <c r="E9" s="6"/>
      <c r="F9" s="6"/>
      <c r="G9" s="24" t="s">
        <v>22</v>
      </c>
      <c r="H9" s="6"/>
      <c r="I9" s="6"/>
      <c r="J9" s="6"/>
      <c r="K9" s="6"/>
      <c r="L9" s="6"/>
      <c r="M9" s="24" t="s">
        <v>22</v>
      </c>
      <c r="N9" s="6"/>
      <c r="O9" s="6"/>
      <c r="P9" s="6"/>
    </row>
    <row r="10" spans="1:16" ht="18" customHeight="1" x14ac:dyDescent="0.3">
      <c r="A10" s="22" t="s">
        <v>19</v>
      </c>
      <c r="B10" s="23" t="s">
        <v>28</v>
      </c>
      <c r="C10" s="4" t="s">
        <v>27</v>
      </c>
      <c r="D10" s="5">
        <v>1</v>
      </c>
      <c r="E10" s="6"/>
      <c r="F10" s="6"/>
      <c r="G10" s="24" t="s">
        <v>22</v>
      </c>
      <c r="H10" s="6"/>
      <c r="I10" s="6"/>
      <c r="J10" s="6"/>
      <c r="K10" s="6"/>
      <c r="L10" s="6"/>
      <c r="M10" s="24" t="s">
        <v>22</v>
      </c>
      <c r="N10" s="6"/>
      <c r="O10" s="6"/>
      <c r="P10" s="6"/>
    </row>
    <row r="11" spans="1:16" ht="18" customHeight="1" x14ac:dyDescent="0.3">
      <c r="A11" s="22" t="s">
        <v>19</v>
      </c>
      <c r="B11" s="23" t="s">
        <v>29</v>
      </c>
      <c r="C11" s="4" t="s">
        <v>27</v>
      </c>
      <c r="D11" s="5">
        <v>1</v>
      </c>
      <c r="E11" s="6"/>
      <c r="F11" s="6"/>
      <c r="G11" s="24" t="s">
        <v>22</v>
      </c>
      <c r="H11" s="6"/>
      <c r="I11" s="6"/>
      <c r="J11" s="6"/>
      <c r="K11" s="6"/>
      <c r="L11" s="6"/>
      <c r="M11" s="24" t="s">
        <v>22</v>
      </c>
      <c r="N11" s="6"/>
      <c r="O11" s="6"/>
      <c r="P11" s="6"/>
    </row>
    <row r="12" spans="1:16" ht="18" customHeight="1" x14ac:dyDescent="0.3">
      <c r="A12" s="22" t="s">
        <v>19</v>
      </c>
      <c r="B12" s="23" t="s">
        <v>30</v>
      </c>
      <c r="C12" s="4" t="s">
        <v>31</v>
      </c>
      <c r="D12" s="5">
        <v>2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24" t="s">
        <v>22</v>
      </c>
      <c r="P12" s="6"/>
    </row>
    <row r="13" spans="1:16" ht="18" customHeight="1" x14ac:dyDescent="0.3">
      <c r="A13" s="22" t="s">
        <v>19</v>
      </c>
      <c r="B13" s="23" t="s">
        <v>32</v>
      </c>
      <c r="C13" s="4" t="s">
        <v>31</v>
      </c>
      <c r="D13" s="5">
        <v>1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24" t="s">
        <v>22</v>
      </c>
      <c r="P13" s="6"/>
    </row>
    <row r="14" spans="1:16" ht="4.95" customHeight="1" x14ac:dyDescent="0.3">
      <c r="A14" s="27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spans="1:16" ht="18" customHeight="1" x14ac:dyDescent="0.3">
      <c r="A15" s="22" t="s">
        <v>33</v>
      </c>
      <c r="B15" s="23" t="s">
        <v>20</v>
      </c>
      <c r="C15" s="4" t="s">
        <v>21</v>
      </c>
      <c r="D15" s="5">
        <v>0.5</v>
      </c>
      <c r="E15" s="24" t="s">
        <v>22</v>
      </c>
      <c r="F15" s="24" t="s">
        <v>22</v>
      </c>
      <c r="G15" s="24" t="s">
        <v>22</v>
      </c>
      <c r="H15" s="24" t="s">
        <v>22</v>
      </c>
      <c r="I15" s="24" t="s">
        <v>22</v>
      </c>
      <c r="J15" s="24" t="s">
        <v>22</v>
      </c>
      <c r="K15" s="24" t="s">
        <v>22</v>
      </c>
      <c r="L15" s="24" t="s">
        <v>22</v>
      </c>
      <c r="M15" s="24" t="s">
        <v>22</v>
      </c>
      <c r="N15" s="24" t="s">
        <v>22</v>
      </c>
      <c r="O15" s="24" t="s">
        <v>22</v>
      </c>
      <c r="P15" s="24" t="s">
        <v>22</v>
      </c>
    </row>
    <row r="16" spans="1:16" ht="18" customHeight="1" x14ac:dyDescent="0.3">
      <c r="A16" s="22" t="s">
        <v>33</v>
      </c>
      <c r="B16" s="23" t="s">
        <v>23</v>
      </c>
      <c r="C16" s="4" t="s">
        <v>24</v>
      </c>
      <c r="D16" s="5">
        <v>1</v>
      </c>
      <c r="E16" s="6"/>
      <c r="F16" s="6"/>
      <c r="G16" s="24" t="s">
        <v>22</v>
      </c>
      <c r="H16" s="6"/>
      <c r="I16" s="6"/>
      <c r="J16" s="24" t="s">
        <v>22</v>
      </c>
      <c r="K16" s="6"/>
      <c r="L16" s="6"/>
      <c r="M16" s="24" t="s">
        <v>22</v>
      </c>
      <c r="N16" s="6"/>
      <c r="O16" s="6"/>
      <c r="P16" s="24" t="s">
        <v>22</v>
      </c>
    </row>
    <row r="17" spans="1:16" ht="18" customHeight="1" x14ac:dyDescent="0.3">
      <c r="A17" s="22" t="s">
        <v>33</v>
      </c>
      <c r="B17" s="23" t="s">
        <v>25</v>
      </c>
      <c r="C17" s="4" t="s">
        <v>24</v>
      </c>
      <c r="D17" s="5">
        <v>0.5</v>
      </c>
      <c r="E17" s="6"/>
      <c r="F17" s="6"/>
      <c r="G17" s="24" t="s">
        <v>22</v>
      </c>
      <c r="H17" s="6"/>
      <c r="I17" s="6"/>
      <c r="J17" s="24" t="s">
        <v>22</v>
      </c>
      <c r="K17" s="6"/>
      <c r="L17" s="6"/>
      <c r="M17" s="24" t="s">
        <v>22</v>
      </c>
      <c r="N17" s="6"/>
      <c r="O17" s="6"/>
      <c r="P17" s="24" t="s">
        <v>22</v>
      </c>
    </row>
    <row r="18" spans="1:16" ht="18" customHeight="1" x14ac:dyDescent="0.3">
      <c r="A18" s="22" t="s">
        <v>33</v>
      </c>
      <c r="B18" s="23" t="s">
        <v>26</v>
      </c>
      <c r="C18" s="4" t="s">
        <v>27</v>
      </c>
      <c r="D18" s="5">
        <v>1</v>
      </c>
      <c r="E18" s="6"/>
      <c r="F18" s="6"/>
      <c r="G18" s="24" t="s">
        <v>22</v>
      </c>
      <c r="H18" s="6"/>
      <c r="I18" s="6"/>
      <c r="J18" s="6"/>
      <c r="K18" s="6"/>
      <c r="L18" s="6"/>
      <c r="M18" s="24" t="s">
        <v>22</v>
      </c>
      <c r="N18" s="6"/>
      <c r="O18" s="6"/>
      <c r="P18" s="6"/>
    </row>
    <row r="19" spans="1:16" ht="18" customHeight="1" x14ac:dyDescent="0.3">
      <c r="A19" s="22" t="s">
        <v>33</v>
      </c>
      <c r="B19" s="23" t="s">
        <v>28</v>
      </c>
      <c r="C19" s="4" t="s">
        <v>27</v>
      </c>
      <c r="D19" s="5">
        <v>0.5</v>
      </c>
      <c r="E19" s="6"/>
      <c r="F19" s="6"/>
      <c r="G19" s="24" t="s">
        <v>22</v>
      </c>
      <c r="H19" s="6"/>
      <c r="I19" s="6"/>
      <c r="J19" s="6"/>
      <c r="K19" s="6"/>
      <c r="L19" s="6"/>
      <c r="M19" s="24" t="s">
        <v>22</v>
      </c>
      <c r="N19" s="6"/>
      <c r="O19" s="6"/>
      <c r="P19" s="6"/>
    </row>
    <row r="20" spans="1:16" ht="18" customHeight="1" x14ac:dyDescent="0.3">
      <c r="A20" s="22" t="s">
        <v>33</v>
      </c>
      <c r="B20" s="23" t="s">
        <v>29</v>
      </c>
      <c r="C20" s="4" t="s">
        <v>27</v>
      </c>
      <c r="D20" s="5">
        <v>1</v>
      </c>
      <c r="E20" s="6"/>
      <c r="F20" s="6"/>
      <c r="G20" s="24" t="s">
        <v>22</v>
      </c>
      <c r="H20" s="6"/>
      <c r="I20" s="6"/>
      <c r="J20" s="6"/>
      <c r="K20" s="6"/>
      <c r="L20" s="6"/>
      <c r="M20" s="24" t="s">
        <v>22</v>
      </c>
      <c r="N20" s="6"/>
      <c r="O20" s="6"/>
      <c r="P20" s="6"/>
    </row>
    <row r="21" spans="1:16" ht="18" customHeight="1" x14ac:dyDescent="0.3">
      <c r="A21" s="22" t="s">
        <v>33</v>
      </c>
      <c r="B21" s="23" t="s">
        <v>30</v>
      </c>
      <c r="C21" s="4" t="s">
        <v>31</v>
      </c>
      <c r="D21" s="5">
        <v>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24" t="s">
        <v>22</v>
      </c>
      <c r="P21" s="6"/>
    </row>
    <row r="22" spans="1:16" ht="18" customHeight="1" x14ac:dyDescent="0.3">
      <c r="A22" s="22" t="s">
        <v>33</v>
      </c>
      <c r="B22" s="23" t="s">
        <v>32</v>
      </c>
      <c r="C22" s="4" t="s">
        <v>31</v>
      </c>
      <c r="D22" s="5">
        <v>1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24" t="s">
        <v>22</v>
      </c>
      <c r="P22" s="6"/>
    </row>
    <row r="23" spans="1:16" ht="4.95" customHeight="1" x14ac:dyDescent="0.3">
      <c r="A23" s="27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</row>
    <row r="24" spans="1:16" ht="18" customHeight="1" x14ac:dyDescent="0.3">
      <c r="A24" s="22" t="s">
        <v>34</v>
      </c>
      <c r="B24" s="23" t="s">
        <v>20</v>
      </c>
      <c r="C24" s="4" t="s">
        <v>21</v>
      </c>
      <c r="D24" s="5">
        <v>1</v>
      </c>
      <c r="E24" s="24" t="s">
        <v>22</v>
      </c>
      <c r="F24" s="24" t="s">
        <v>22</v>
      </c>
      <c r="G24" s="24" t="s">
        <v>22</v>
      </c>
      <c r="H24" s="24" t="s">
        <v>22</v>
      </c>
      <c r="I24" s="24" t="s">
        <v>22</v>
      </c>
      <c r="J24" s="24" t="s">
        <v>22</v>
      </c>
      <c r="K24" s="24" t="s">
        <v>22</v>
      </c>
      <c r="L24" s="24" t="s">
        <v>22</v>
      </c>
      <c r="M24" s="24" t="s">
        <v>22</v>
      </c>
      <c r="N24" s="24" t="s">
        <v>22</v>
      </c>
      <c r="O24" s="24" t="s">
        <v>22</v>
      </c>
      <c r="P24" s="24" t="s">
        <v>22</v>
      </c>
    </row>
    <row r="25" spans="1:16" ht="18" customHeight="1" x14ac:dyDescent="0.3">
      <c r="A25" s="22" t="s">
        <v>34</v>
      </c>
      <c r="B25" s="23" t="s">
        <v>23</v>
      </c>
      <c r="C25" s="4" t="s">
        <v>24</v>
      </c>
      <c r="D25" s="5">
        <v>1</v>
      </c>
      <c r="E25" s="6"/>
      <c r="F25" s="6"/>
      <c r="G25" s="24" t="s">
        <v>22</v>
      </c>
      <c r="H25" s="6"/>
      <c r="I25" s="6"/>
      <c r="J25" s="24" t="s">
        <v>22</v>
      </c>
      <c r="K25" s="6"/>
      <c r="L25" s="6"/>
      <c r="M25" s="24" t="s">
        <v>22</v>
      </c>
      <c r="N25" s="6"/>
      <c r="O25" s="6"/>
      <c r="P25" s="24" t="s">
        <v>22</v>
      </c>
    </row>
    <row r="26" spans="1:16" ht="18" customHeight="1" x14ac:dyDescent="0.3">
      <c r="A26" s="22" t="s">
        <v>34</v>
      </c>
      <c r="B26" s="23" t="s">
        <v>25</v>
      </c>
      <c r="C26" s="4" t="s">
        <v>24</v>
      </c>
      <c r="D26" s="5">
        <v>1</v>
      </c>
      <c r="E26" s="6"/>
      <c r="F26" s="6"/>
      <c r="G26" s="24" t="s">
        <v>22</v>
      </c>
      <c r="H26" s="6"/>
      <c r="I26" s="6"/>
      <c r="J26" s="24" t="s">
        <v>22</v>
      </c>
      <c r="K26" s="6"/>
      <c r="L26" s="6"/>
      <c r="M26" s="24" t="s">
        <v>22</v>
      </c>
      <c r="N26" s="6"/>
      <c r="O26" s="6"/>
      <c r="P26" s="24" t="s">
        <v>22</v>
      </c>
    </row>
    <row r="27" spans="1:16" ht="18" customHeight="1" x14ac:dyDescent="0.3">
      <c r="A27" s="22" t="s">
        <v>34</v>
      </c>
      <c r="B27" s="23" t="s">
        <v>26</v>
      </c>
      <c r="C27" s="4" t="s">
        <v>27</v>
      </c>
      <c r="D27" s="5">
        <v>1.5</v>
      </c>
      <c r="E27" s="6"/>
      <c r="F27" s="6"/>
      <c r="G27" s="24" t="s">
        <v>22</v>
      </c>
      <c r="H27" s="6"/>
      <c r="I27" s="6"/>
      <c r="J27" s="6"/>
      <c r="K27" s="6"/>
      <c r="L27" s="6"/>
      <c r="M27" s="24" t="s">
        <v>22</v>
      </c>
      <c r="N27" s="6"/>
      <c r="O27" s="6"/>
      <c r="P27" s="6"/>
    </row>
    <row r="28" spans="1:16" ht="18" customHeight="1" x14ac:dyDescent="0.3">
      <c r="A28" s="22" t="s">
        <v>34</v>
      </c>
      <c r="B28" s="23" t="s">
        <v>28</v>
      </c>
      <c r="C28" s="4" t="s">
        <v>27</v>
      </c>
      <c r="D28" s="5">
        <v>1</v>
      </c>
      <c r="E28" s="6"/>
      <c r="F28" s="6"/>
      <c r="G28" s="24" t="s">
        <v>22</v>
      </c>
      <c r="H28" s="6"/>
      <c r="I28" s="6"/>
      <c r="J28" s="6"/>
      <c r="K28" s="6"/>
      <c r="L28" s="6"/>
      <c r="M28" s="24" t="s">
        <v>22</v>
      </c>
      <c r="N28" s="6"/>
      <c r="O28" s="6"/>
      <c r="P28" s="6"/>
    </row>
    <row r="29" spans="1:16" ht="18" customHeight="1" x14ac:dyDescent="0.3">
      <c r="A29" s="22" t="s">
        <v>34</v>
      </c>
      <c r="B29" s="23" t="s">
        <v>29</v>
      </c>
      <c r="C29" s="4" t="s">
        <v>27</v>
      </c>
      <c r="D29" s="5">
        <v>1</v>
      </c>
      <c r="E29" s="6"/>
      <c r="F29" s="6"/>
      <c r="G29" s="24" t="s">
        <v>22</v>
      </c>
      <c r="H29" s="6"/>
      <c r="I29" s="6"/>
      <c r="J29" s="6"/>
      <c r="K29" s="6"/>
      <c r="L29" s="6"/>
      <c r="M29" s="24" t="s">
        <v>22</v>
      </c>
      <c r="N29" s="6"/>
      <c r="O29" s="6"/>
      <c r="P29" s="6"/>
    </row>
    <row r="30" spans="1:16" ht="18" customHeight="1" x14ac:dyDescent="0.3">
      <c r="A30" s="22" t="s">
        <v>34</v>
      </c>
      <c r="B30" s="23" t="s">
        <v>30</v>
      </c>
      <c r="C30" s="4" t="s">
        <v>31</v>
      </c>
      <c r="D30" s="5">
        <v>2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24" t="s">
        <v>22</v>
      </c>
      <c r="P30" s="6"/>
    </row>
    <row r="31" spans="1:16" ht="18" customHeight="1" x14ac:dyDescent="0.3">
      <c r="A31" s="22" t="s">
        <v>34</v>
      </c>
      <c r="B31" s="23" t="s">
        <v>32</v>
      </c>
      <c r="C31" s="4" t="s">
        <v>31</v>
      </c>
      <c r="D31" s="5">
        <v>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24" t="s">
        <v>22</v>
      </c>
      <c r="P31" s="6"/>
    </row>
    <row r="32" spans="1:16" ht="4.95" customHeight="1" x14ac:dyDescent="0.3">
      <c r="A32" s="27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</row>
    <row r="33" spans="1:16" ht="18" customHeight="1" x14ac:dyDescent="0.3">
      <c r="A33" s="22" t="s">
        <v>35</v>
      </c>
      <c r="B33" s="23" t="s">
        <v>20</v>
      </c>
      <c r="C33" s="4" t="s">
        <v>21</v>
      </c>
      <c r="D33" s="5">
        <v>0.5</v>
      </c>
      <c r="E33" s="24" t="s">
        <v>22</v>
      </c>
      <c r="F33" s="24" t="s">
        <v>22</v>
      </c>
      <c r="G33" s="24" t="s">
        <v>22</v>
      </c>
      <c r="H33" s="24" t="s">
        <v>22</v>
      </c>
      <c r="I33" s="24" t="s">
        <v>22</v>
      </c>
      <c r="J33" s="24" t="s">
        <v>22</v>
      </c>
      <c r="K33" s="24" t="s">
        <v>22</v>
      </c>
      <c r="L33" s="24" t="s">
        <v>22</v>
      </c>
      <c r="M33" s="24" t="s">
        <v>22</v>
      </c>
      <c r="N33" s="24" t="s">
        <v>22</v>
      </c>
      <c r="O33" s="24" t="s">
        <v>22</v>
      </c>
      <c r="P33" s="24" t="s">
        <v>22</v>
      </c>
    </row>
    <row r="34" spans="1:16" ht="18" customHeight="1" x14ac:dyDescent="0.3">
      <c r="A34" s="22" t="s">
        <v>35</v>
      </c>
      <c r="B34" s="23" t="s">
        <v>23</v>
      </c>
      <c r="C34" s="4" t="s">
        <v>24</v>
      </c>
      <c r="D34" s="5">
        <v>1</v>
      </c>
      <c r="E34" s="6"/>
      <c r="F34" s="6"/>
      <c r="G34" s="24" t="s">
        <v>22</v>
      </c>
      <c r="H34" s="6"/>
      <c r="I34" s="6"/>
      <c r="J34" s="24" t="s">
        <v>22</v>
      </c>
      <c r="K34" s="6"/>
      <c r="L34" s="6"/>
      <c r="M34" s="24" t="s">
        <v>22</v>
      </c>
      <c r="N34" s="6"/>
      <c r="O34" s="6"/>
      <c r="P34" s="24" t="s">
        <v>22</v>
      </c>
    </row>
    <row r="35" spans="1:16" ht="18" customHeight="1" x14ac:dyDescent="0.3">
      <c r="A35" s="22" t="s">
        <v>35</v>
      </c>
      <c r="B35" s="23" t="s">
        <v>25</v>
      </c>
      <c r="C35" s="4" t="s">
        <v>24</v>
      </c>
      <c r="D35" s="5">
        <v>0.5</v>
      </c>
      <c r="E35" s="6"/>
      <c r="F35" s="6"/>
      <c r="G35" s="24" t="s">
        <v>22</v>
      </c>
      <c r="H35" s="6"/>
      <c r="I35" s="6"/>
      <c r="J35" s="24" t="s">
        <v>22</v>
      </c>
      <c r="K35" s="6"/>
      <c r="L35" s="6"/>
      <c r="M35" s="24" t="s">
        <v>22</v>
      </c>
      <c r="N35" s="6"/>
      <c r="O35" s="6"/>
      <c r="P35" s="24" t="s">
        <v>22</v>
      </c>
    </row>
    <row r="36" spans="1:16" ht="18" customHeight="1" x14ac:dyDescent="0.3">
      <c r="A36" s="22" t="s">
        <v>35</v>
      </c>
      <c r="B36" s="23" t="s">
        <v>26</v>
      </c>
      <c r="C36" s="4" t="s">
        <v>27</v>
      </c>
      <c r="D36" s="5">
        <v>1</v>
      </c>
      <c r="E36" s="6"/>
      <c r="F36" s="6"/>
      <c r="G36" s="24" t="s">
        <v>22</v>
      </c>
      <c r="H36" s="6"/>
      <c r="I36" s="6"/>
      <c r="J36" s="6"/>
      <c r="K36" s="6"/>
      <c r="L36" s="6"/>
      <c r="M36" s="24" t="s">
        <v>22</v>
      </c>
      <c r="N36" s="6"/>
      <c r="O36" s="6"/>
      <c r="P36" s="6"/>
    </row>
    <row r="37" spans="1:16" ht="18" customHeight="1" x14ac:dyDescent="0.3">
      <c r="A37" s="22" t="s">
        <v>35</v>
      </c>
      <c r="B37" s="23" t="s">
        <v>28</v>
      </c>
      <c r="C37" s="4" t="s">
        <v>27</v>
      </c>
      <c r="D37" s="5">
        <v>0.5</v>
      </c>
      <c r="E37" s="6"/>
      <c r="F37" s="6"/>
      <c r="G37" s="24" t="s">
        <v>22</v>
      </c>
      <c r="H37" s="6"/>
      <c r="I37" s="6"/>
      <c r="J37" s="6"/>
      <c r="K37" s="6"/>
      <c r="L37" s="6"/>
      <c r="M37" s="24" t="s">
        <v>22</v>
      </c>
      <c r="N37" s="6"/>
      <c r="O37" s="6"/>
      <c r="P37" s="6"/>
    </row>
    <row r="38" spans="1:16" ht="18" customHeight="1" x14ac:dyDescent="0.3">
      <c r="A38" s="22" t="s">
        <v>35</v>
      </c>
      <c r="B38" s="23" t="s">
        <v>29</v>
      </c>
      <c r="C38" s="4" t="s">
        <v>27</v>
      </c>
      <c r="D38" s="5">
        <v>1</v>
      </c>
      <c r="E38" s="6"/>
      <c r="F38" s="6"/>
      <c r="G38" s="24" t="s">
        <v>22</v>
      </c>
      <c r="H38" s="6"/>
      <c r="I38" s="6"/>
      <c r="J38" s="6"/>
      <c r="K38" s="6"/>
      <c r="L38" s="6"/>
      <c r="M38" s="24" t="s">
        <v>22</v>
      </c>
      <c r="N38" s="6"/>
      <c r="O38" s="6"/>
      <c r="P38" s="6"/>
    </row>
    <row r="39" spans="1:16" ht="18" customHeight="1" x14ac:dyDescent="0.3">
      <c r="A39" s="22" t="s">
        <v>35</v>
      </c>
      <c r="B39" s="23" t="s">
        <v>30</v>
      </c>
      <c r="C39" s="4" t="s">
        <v>31</v>
      </c>
      <c r="D39" s="5">
        <v>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24" t="s">
        <v>22</v>
      </c>
      <c r="P39" s="6"/>
    </row>
    <row r="40" spans="1:16" ht="18" customHeight="1" x14ac:dyDescent="0.3">
      <c r="A40" s="22" t="s">
        <v>35</v>
      </c>
      <c r="B40" s="23" t="s">
        <v>32</v>
      </c>
      <c r="C40" s="4" t="s">
        <v>31</v>
      </c>
      <c r="D40" s="5">
        <v>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24" t="s">
        <v>22</v>
      </c>
      <c r="P40" s="6"/>
    </row>
    <row r="41" spans="1:16" ht="4.95" customHeight="1" x14ac:dyDescent="0.3">
      <c r="A41" s="27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</row>
    <row r="42" spans="1:16" ht="18" customHeight="1" x14ac:dyDescent="0.3">
      <c r="A42" s="22" t="s">
        <v>36</v>
      </c>
      <c r="B42" s="23" t="s">
        <v>20</v>
      </c>
      <c r="C42" s="4" t="s">
        <v>21</v>
      </c>
      <c r="D42" s="5">
        <v>1</v>
      </c>
      <c r="E42" s="24" t="s">
        <v>22</v>
      </c>
      <c r="F42" s="24" t="s">
        <v>22</v>
      </c>
      <c r="G42" s="24" t="s">
        <v>22</v>
      </c>
      <c r="H42" s="24" t="s">
        <v>22</v>
      </c>
      <c r="I42" s="24" t="s">
        <v>22</v>
      </c>
      <c r="J42" s="24" t="s">
        <v>22</v>
      </c>
      <c r="K42" s="24" t="s">
        <v>22</v>
      </c>
      <c r="L42" s="24" t="s">
        <v>22</v>
      </c>
      <c r="M42" s="24" t="s">
        <v>22</v>
      </c>
      <c r="N42" s="24" t="s">
        <v>22</v>
      </c>
      <c r="O42" s="24" t="s">
        <v>22</v>
      </c>
      <c r="P42" s="24" t="s">
        <v>22</v>
      </c>
    </row>
    <row r="43" spans="1:16" ht="18" customHeight="1" x14ac:dyDescent="0.3">
      <c r="A43" s="22" t="s">
        <v>36</v>
      </c>
      <c r="B43" s="23" t="s">
        <v>23</v>
      </c>
      <c r="C43" s="4" t="s">
        <v>24</v>
      </c>
      <c r="D43" s="5">
        <v>1</v>
      </c>
      <c r="E43" s="6"/>
      <c r="F43" s="6"/>
      <c r="G43" s="24" t="s">
        <v>22</v>
      </c>
      <c r="H43" s="6"/>
      <c r="I43" s="6"/>
      <c r="J43" s="24" t="s">
        <v>22</v>
      </c>
      <c r="K43" s="6"/>
      <c r="L43" s="6"/>
      <c r="M43" s="24" t="s">
        <v>22</v>
      </c>
      <c r="N43" s="6"/>
      <c r="O43" s="6"/>
      <c r="P43" s="24" t="s">
        <v>22</v>
      </c>
    </row>
    <row r="44" spans="1:16" ht="18" customHeight="1" x14ac:dyDescent="0.3">
      <c r="A44" s="22" t="s">
        <v>36</v>
      </c>
      <c r="B44" s="23" t="s">
        <v>25</v>
      </c>
      <c r="C44" s="4" t="s">
        <v>24</v>
      </c>
      <c r="D44" s="5">
        <v>1</v>
      </c>
      <c r="E44" s="6"/>
      <c r="F44" s="6"/>
      <c r="G44" s="24" t="s">
        <v>22</v>
      </c>
      <c r="H44" s="6"/>
      <c r="I44" s="6"/>
      <c r="J44" s="24" t="s">
        <v>22</v>
      </c>
      <c r="K44" s="6"/>
      <c r="L44" s="6"/>
      <c r="M44" s="24" t="s">
        <v>22</v>
      </c>
      <c r="N44" s="6"/>
      <c r="O44" s="6"/>
      <c r="P44" s="24" t="s">
        <v>22</v>
      </c>
    </row>
    <row r="45" spans="1:16" ht="18" customHeight="1" x14ac:dyDescent="0.3">
      <c r="A45" s="22" t="s">
        <v>36</v>
      </c>
      <c r="B45" s="23" t="s">
        <v>26</v>
      </c>
      <c r="C45" s="4" t="s">
        <v>27</v>
      </c>
      <c r="D45" s="5">
        <v>1</v>
      </c>
      <c r="E45" s="6"/>
      <c r="F45" s="6"/>
      <c r="G45" s="24" t="s">
        <v>22</v>
      </c>
      <c r="H45" s="6"/>
      <c r="I45" s="6"/>
      <c r="J45" s="6"/>
      <c r="K45" s="6"/>
      <c r="L45" s="6"/>
      <c r="M45" s="24" t="s">
        <v>22</v>
      </c>
      <c r="N45" s="6"/>
      <c r="O45" s="6"/>
      <c r="P45" s="6"/>
    </row>
    <row r="46" spans="1:16" ht="18" customHeight="1" x14ac:dyDescent="0.3">
      <c r="A46" s="22" t="s">
        <v>36</v>
      </c>
      <c r="B46" s="23" t="s">
        <v>28</v>
      </c>
      <c r="C46" s="4" t="s">
        <v>27</v>
      </c>
      <c r="D46" s="5">
        <v>1</v>
      </c>
      <c r="E46" s="6"/>
      <c r="F46" s="6"/>
      <c r="G46" s="24" t="s">
        <v>22</v>
      </c>
      <c r="H46" s="6"/>
      <c r="I46" s="6"/>
      <c r="J46" s="6"/>
      <c r="K46" s="6"/>
      <c r="L46" s="6"/>
      <c r="M46" s="24" t="s">
        <v>22</v>
      </c>
      <c r="N46" s="6"/>
      <c r="O46" s="6"/>
      <c r="P46" s="6"/>
    </row>
    <row r="47" spans="1:16" ht="18" customHeight="1" x14ac:dyDescent="0.3">
      <c r="A47" s="22" t="s">
        <v>36</v>
      </c>
      <c r="B47" s="23" t="s">
        <v>29</v>
      </c>
      <c r="C47" s="4" t="s">
        <v>27</v>
      </c>
      <c r="D47" s="5">
        <v>2</v>
      </c>
      <c r="E47" s="6"/>
      <c r="F47" s="6"/>
      <c r="G47" s="24" t="s">
        <v>22</v>
      </c>
      <c r="H47" s="6"/>
      <c r="I47" s="6"/>
      <c r="J47" s="6"/>
      <c r="K47" s="6"/>
      <c r="L47" s="6"/>
      <c r="M47" s="24" t="s">
        <v>22</v>
      </c>
      <c r="N47" s="6"/>
      <c r="O47" s="6"/>
      <c r="P47" s="6"/>
    </row>
    <row r="48" spans="1:16" ht="18" customHeight="1" x14ac:dyDescent="0.3">
      <c r="A48" s="22" t="s">
        <v>36</v>
      </c>
      <c r="B48" s="23" t="s">
        <v>30</v>
      </c>
      <c r="C48" s="4" t="s">
        <v>31</v>
      </c>
      <c r="D48" s="5">
        <v>2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24" t="s">
        <v>22</v>
      </c>
      <c r="P48" s="6"/>
    </row>
    <row r="49" spans="1:16" ht="18" customHeight="1" x14ac:dyDescent="0.3">
      <c r="A49" s="22" t="s">
        <v>36</v>
      </c>
      <c r="B49" s="23" t="s">
        <v>32</v>
      </c>
      <c r="C49" s="4" t="s">
        <v>31</v>
      </c>
      <c r="D49" s="5">
        <v>1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24" t="s">
        <v>22</v>
      </c>
      <c r="P49" s="6"/>
    </row>
    <row r="50" spans="1:16" ht="4.95" customHeight="1" x14ac:dyDescent="0.3">
      <c r="A50" s="27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</row>
    <row r="51" spans="1:16" ht="18" customHeight="1" x14ac:dyDescent="0.3">
      <c r="A51" s="22" t="s">
        <v>37</v>
      </c>
      <c r="B51" s="23" t="s">
        <v>20</v>
      </c>
      <c r="C51" s="4" t="s">
        <v>21</v>
      </c>
      <c r="D51" s="5">
        <v>0.5</v>
      </c>
      <c r="E51" s="24" t="s">
        <v>22</v>
      </c>
      <c r="F51" s="24" t="s">
        <v>22</v>
      </c>
      <c r="G51" s="24" t="s">
        <v>22</v>
      </c>
      <c r="H51" s="24" t="s">
        <v>22</v>
      </c>
      <c r="I51" s="24" t="s">
        <v>22</v>
      </c>
      <c r="J51" s="24" t="s">
        <v>22</v>
      </c>
      <c r="K51" s="24" t="s">
        <v>22</v>
      </c>
      <c r="L51" s="24" t="s">
        <v>22</v>
      </c>
      <c r="M51" s="24" t="s">
        <v>22</v>
      </c>
      <c r="N51" s="24" t="s">
        <v>22</v>
      </c>
      <c r="O51" s="24" t="s">
        <v>22</v>
      </c>
      <c r="P51" s="24" t="s">
        <v>22</v>
      </c>
    </row>
    <row r="52" spans="1:16" ht="18" customHeight="1" x14ac:dyDescent="0.3">
      <c r="A52" s="22" t="s">
        <v>37</v>
      </c>
      <c r="B52" s="23" t="s">
        <v>23</v>
      </c>
      <c r="C52" s="4" t="s">
        <v>24</v>
      </c>
      <c r="D52" s="5">
        <v>1</v>
      </c>
      <c r="E52" s="6"/>
      <c r="F52" s="6"/>
      <c r="G52" s="24" t="s">
        <v>22</v>
      </c>
      <c r="H52" s="6"/>
      <c r="I52" s="6"/>
      <c r="J52" s="24" t="s">
        <v>22</v>
      </c>
      <c r="K52" s="6"/>
      <c r="L52" s="6"/>
      <c r="M52" s="24" t="s">
        <v>22</v>
      </c>
      <c r="N52" s="6"/>
      <c r="O52" s="6"/>
      <c r="P52" s="24" t="s">
        <v>22</v>
      </c>
    </row>
    <row r="53" spans="1:16" ht="18" customHeight="1" x14ac:dyDescent="0.3">
      <c r="A53" s="22" t="s">
        <v>37</v>
      </c>
      <c r="B53" s="23" t="s">
        <v>25</v>
      </c>
      <c r="C53" s="4" t="s">
        <v>24</v>
      </c>
      <c r="D53" s="5">
        <v>0.5</v>
      </c>
      <c r="E53" s="6"/>
      <c r="F53" s="6"/>
      <c r="G53" s="24" t="s">
        <v>22</v>
      </c>
      <c r="H53" s="6"/>
      <c r="I53" s="6"/>
      <c r="J53" s="24" t="s">
        <v>22</v>
      </c>
      <c r="K53" s="6"/>
      <c r="L53" s="6"/>
      <c r="M53" s="24" t="s">
        <v>22</v>
      </c>
      <c r="N53" s="6"/>
      <c r="O53" s="6"/>
      <c r="P53" s="24" t="s">
        <v>22</v>
      </c>
    </row>
    <row r="54" spans="1:16" ht="18" customHeight="1" x14ac:dyDescent="0.3">
      <c r="A54" s="22" t="s">
        <v>37</v>
      </c>
      <c r="B54" s="23" t="s">
        <v>26</v>
      </c>
      <c r="C54" s="4" t="s">
        <v>27</v>
      </c>
      <c r="D54" s="5">
        <v>1</v>
      </c>
      <c r="E54" s="6"/>
      <c r="F54" s="6"/>
      <c r="G54" s="24" t="s">
        <v>22</v>
      </c>
      <c r="H54" s="6"/>
      <c r="I54" s="6"/>
      <c r="J54" s="6"/>
      <c r="K54" s="6"/>
      <c r="L54" s="6"/>
      <c r="M54" s="24" t="s">
        <v>22</v>
      </c>
      <c r="N54" s="6"/>
      <c r="O54" s="6"/>
      <c r="P54" s="6"/>
    </row>
    <row r="55" spans="1:16" ht="18" customHeight="1" x14ac:dyDescent="0.3">
      <c r="A55" s="22" t="s">
        <v>37</v>
      </c>
      <c r="B55" s="23" t="s">
        <v>28</v>
      </c>
      <c r="C55" s="4" t="s">
        <v>27</v>
      </c>
      <c r="D55" s="5">
        <v>0.5</v>
      </c>
      <c r="E55" s="6"/>
      <c r="F55" s="6"/>
      <c r="G55" s="24" t="s">
        <v>22</v>
      </c>
      <c r="H55" s="6"/>
      <c r="I55" s="6"/>
      <c r="J55" s="6"/>
      <c r="K55" s="6"/>
      <c r="L55" s="6"/>
      <c r="M55" s="24" t="s">
        <v>22</v>
      </c>
      <c r="N55" s="6"/>
      <c r="O55" s="6"/>
      <c r="P55" s="6"/>
    </row>
    <row r="56" spans="1:16" ht="18" customHeight="1" x14ac:dyDescent="0.3">
      <c r="A56" s="22" t="s">
        <v>37</v>
      </c>
      <c r="B56" s="23" t="s">
        <v>29</v>
      </c>
      <c r="C56" s="4" t="s">
        <v>27</v>
      </c>
      <c r="D56" s="5">
        <v>1</v>
      </c>
      <c r="E56" s="6"/>
      <c r="F56" s="6"/>
      <c r="G56" s="24" t="s">
        <v>22</v>
      </c>
      <c r="H56" s="6"/>
      <c r="I56" s="6"/>
      <c r="J56" s="6"/>
      <c r="K56" s="6"/>
      <c r="L56" s="6"/>
      <c r="M56" s="24" t="s">
        <v>22</v>
      </c>
      <c r="N56" s="6"/>
      <c r="O56" s="6"/>
      <c r="P56" s="6"/>
    </row>
    <row r="57" spans="1:16" ht="18" customHeight="1" x14ac:dyDescent="0.3">
      <c r="A57" s="22" t="s">
        <v>37</v>
      </c>
      <c r="B57" s="23" t="s">
        <v>30</v>
      </c>
      <c r="C57" s="4" t="s">
        <v>31</v>
      </c>
      <c r="D57" s="5">
        <v>1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24" t="s">
        <v>22</v>
      </c>
      <c r="P57" s="6"/>
    </row>
    <row r="58" spans="1:16" ht="18" customHeight="1" x14ac:dyDescent="0.3">
      <c r="A58" s="22" t="s">
        <v>37</v>
      </c>
      <c r="B58" s="23" t="s">
        <v>32</v>
      </c>
      <c r="C58" s="4" t="s">
        <v>31</v>
      </c>
      <c r="D58" s="5">
        <v>1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24" t="s">
        <v>22</v>
      </c>
      <c r="P58" s="6"/>
    </row>
    <row r="59" spans="1:16" ht="4.95" customHeight="1" x14ac:dyDescent="0.3">
      <c r="A59" s="27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</row>
    <row r="60" spans="1:16" ht="18" customHeight="1" x14ac:dyDescent="0.3">
      <c r="A60" s="22" t="s">
        <v>38</v>
      </c>
      <c r="B60" s="23" t="s">
        <v>20</v>
      </c>
      <c r="C60" s="4" t="s">
        <v>21</v>
      </c>
      <c r="D60" s="5">
        <v>1</v>
      </c>
      <c r="E60" s="24" t="s">
        <v>22</v>
      </c>
      <c r="F60" s="24" t="s">
        <v>22</v>
      </c>
      <c r="G60" s="24" t="s">
        <v>22</v>
      </c>
      <c r="H60" s="24" t="s">
        <v>22</v>
      </c>
      <c r="I60" s="24" t="s">
        <v>22</v>
      </c>
      <c r="J60" s="24" t="s">
        <v>22</v>
      </c>
      <c r="K60" s="24" t="s">
        <v>22</v>
      </c>
      <c r="L60" s="24" t="s">
        <v>22</v>
      </c>
      <c r="M60" s="24" t="s">
        <v>22</v>
      </c>
      <c r="N60" s="24" t="s">
        <v>22</v>
      </c>
      <c r="O60" s="24" t="s">
        <v>22</v>
      </c>
      <c r="P60" s="24" t="s">
        <v>22</v>
      </c>
    </row>
    <row r="61" spans="1:16" ht="18" customHeight="1" x14ac:dyDescent="0.3">
      <c r="A61" s="22" t="s">
        <v>38</v>
      </c>
      <c r="B61" s="23" t="s">
        <v>23</v>
      </c>
      <c r="C61" s="4" t="s">
        <v>24</v>
      </c>
      <c r="D61" s="5">
        <v>1</v>
      </c>
      <c r="E61" s="6"/>
      <c r="F61" s="6"/>
      <c r="G61" s="24" t="s">
        <v>22</v>
      </c>
      <c r="H61" s="6"/>
      <c r="I61" s="6"/>
      <c r="J61" s="24" t="s">
        <v>22</v>
      </c>
      <c r="K61" s="6"/>
      <c r="L61" s="6"/>
      <c r="M61" s="24" t="s">
        <v>22</v>
      </c>
      <c r="N61" s="6"/>
      <c r="O61" s="6"/>
      <c r="P61" s="24" t="s">
        <v>22</v>
      </c>
    </row>
    <row r="62" spans="1:16" ht="18" customHeight="1" x14ac:dyDescent="0.3">
      <c r="A62" s="22" t="s">
        <v>38</v>
      </c>
      <c r="B62" s="23" t="s">
        <v>25</v>
      </c>
      <c r="C62" s="4" t="s">
        <v>24</v>
      </c>
      <c r="D62" s="5">
        <v>1</v>
      </c>
      <c r="E62" s="6"/>
      <c r="F62" s="6"/>
      <c r="G62" s="24" t="s">
        <v>22</v>
      </c>
      <c r="H62" s="6"/>
      <c r="I62" s="6"/>
      <c r="J62" s="24" t="s">
        <v>22</v>
      </c>
      <c r="K62" s="6"/>
      <c r="L62" s="6"/>
      <c r="M62" s="24" t="s">
        <v>22</v>
      </c>
      <c r="N62" s="6"/>
      <c r="O62" s="6"/>
      <c r="P62" s="24" t="s">
        <v>22</v>
      </c>
    </row>
    <row r="63" spans="1:16" ht="18" customHeight="1" x14ac:dyDescent="0.3">
      <c r="A63" s="22" t="s">
        <v>38</v>
      </c>
      <c r="B63" s="23" t="s">
        <v>26</v>
      </c>
      <c r="C63" s="4" t="s">
        <v>27</v>
      </c>
      <c r="D63" s="5">
        <v>1</v>
      </c>
      <c r="E63" s="6"/>
      <c r="F63" s="6"/>
      <c r="G63" s="24" t="s">
        <v>22</v>
      </c>
      <c r="H63" s="6"/>
      <c r="I63" s="6"/>
      <c r="J63" s="6"/>
      <c r="K63" s="6"/>
      <c r="L63" s="6"/>
      <c r="M63" s="24" t="s">
        <v>22</v>
      </c>
      <c r="N63" s="6"/>
      <c r="O63" s="6"/>
      <c r="P63" s="6"/>
    </row>
    <row r="64" spans="1:16" ht="18" customHeight="1" x14ac:dyDescent="0.3">
      <c r="A64" s="22" t="s">
        <v>38</v>
      </c>
      <c r="B64" s="23" t="s">
        <v>28</v>
      </c>
      <c r="C64" s="4" t="s">
        <v>27</v>
      </c>
      <c r="D64" s="5">
        <v>1</v>
      </c>
      <c r="E64" s="6"/>
      <c r="F64" s="6"/>
      <c r="G64" s="24" t="s">
        <v>22</v>
      </c>
      <c r="H64" s="6"/>
      <c r="I64" s="6"/>
      <c r="J64" s="6"/>
      <c r="K64" s="6"/>
      <c r="L64" s="6"/>
      <c r="M64" s="24" t="s">
        <v>22</v>
      </c>
      <c r="N64" s="6"/>
      <c r="O64" s="6"/>
      <c r="P64" s="6"/>
    </row>
    <row r="65" spans="1:16" ht="18" customHeight="1" x14ac:dyDescent="0.3">
      <c r="A65" s="22" t="s">
        <v>38</v>
      </c>
      <c r="B65" s="23" t="s">
        <v>29</v>
      </c>
      <c r="C65" s="4" t="s">
        <v>27</v>
      </c>
      <c r="D65" s="5">
        <v>1</v>
      </c>
      <c r="E65" s="6"/>
      <c r="F65" s="6"/>
      <c r="G65" s="24" t="s">
        <v>22</v>
      </c>
      <c r="H65" s="6"/>
      <c r="I65" s="6"/>
      <c r="J65" s="6"/>
      <c r="K65" s="6"/>
      <c r="L65" s="6"/>
      <c r="M65" s="24" t="s">
        <v>22</v>
      </c>
      <c r="N65" s="6"/>
      <c r="O65" s="6"/>
      <c r="P65" s="6"/>
    </row>
    <row r="66" spans="1:16" ht="18" customHeight="1" x14ac:dyDescent="0.3">
      <c r="A66" s="22" t="s">
        <v>38</v>
      </c>
      <c r="B66" s="23" t="s">
        <v>30</v>
      </c>
      <c r="C66" s="4" t="s">
        <v>31</v>
      </c>
      <c r="D66" s="5">
        <v>2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24" t="s">
        <v>22</v>
      </c>
      <c r="P66" s="6"/>
    </row>
    <row r="67" spans="1:16" ht="18" customHeight="1" x14ac:dyDescent="0.3">
      <c r="A67" s="22" t="s">
        <v>38</v>
      </c>
      <c r="B67" s="23" t="s">
        <v>32</v>
      </c>
      <c r="C67" s="4" t="s">
        <v>31</v>
      </c>
      <c r="D67" s="5">
        <v>1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24" t="s">
        <v>22</v>
      </c>
      <c r="P67" s="6"/>
    </row>
    <row r="68" spans="1:16" ht="4.95" customHeight="1" x14ac:dyDescent="0.3">
      <c r="A68" s="27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</row>
    <row r="69" spans="1:16" ht="18" customHeight="1" x14ac:dyDescent="0.3">
      <c r="A69" s="22" t="s">
        <v>39</v>
      </c>
      <c r="B69" s="23" t="s">
        <v>20</v>
      </c>
      <c r="C69" s="4" t="s">
        <v>21</v>
      </c>
      <c r="D69" s="5">
        <v>0.5</v>
      </c>
      <c r="E69" s="24" t="s">
        <v>22</v>
      </c>
      <c r="F69" s="24" t="s">
        <v>22</v>
      </c>
      <c r="G69" s="24" t="s">
        <v>22</v>
      </c>
      <c r="H69" s="24" t="s">
        <v>22</v>
      </c>
      <c r="I69" s="24" t="s">
        <v>22</v>
      </c>
      <c r="J69" s="24" t="s">
        <v>22</v>
      </c>
      <c r="K69" s="24" t="s">
        <v>22</v>
      </c>
      <c r="L69" s="24" t="s">
        <v>22</v>
      </c>
      <c r="M69" s="24" t="s">
        <v>22</v>
      </c>
      <c r="N69" s="24" t="s">
        <v>22</v>
      </c>
      <c r="O69" s="24" t="s">
        <v>22</v>
      </c>
      <c r="P69" s="24" t="s">
        <v>22</v>
      </c>
    </row>
    <row r="70" spans="1:16" ht="18" customHeight="1" x14ac:dyDescent="0.3">
      <c r="A70" s="22" t="s">
        <v>39</v>
      </c>
      <c r="B70" s="23" t="s">
        <v>23</v>
      </c>
      <c r="C70" s="4" t="s">
        <v>24</v>
      </c>
      <c r="D70" s="5">
        <v>1</v>
      </c>
      <c r="E70" s="6"/>
      <c r="F70" s="6"/>
      <c r="G70" s="24" t="s">
        <v>22</v>
      </c>
      <c r="H70" s="6"/>
      <c r="I70" s="6"/>
      <c r="J70" s="24" t="s">
        <v>22</v>
      </c>
      <c r="K70" s="6"/>
      <c r="L70" s="6"/>
      <c r="M70" s="24" t="s">
        <v>22</v>
      </c>
      <c r="N70" s="6"/>
      <c r="O70" s="6"/>
      <c r="P70" s="24" t="s">
        <v>22</v>
      </c>
    </row>
    <row r="71" spans="1:16" ht="18" customHeight="1" x14ac:dyDescent="0.3">
      <c r="A71" s="22" t="s">
        <v>39</v>
      </c>
      <c r="B71" s="23" t="s">
        <v>25</v>
      </c>
      <c r="C71" s="4" t="s">
        <v>24</v>
      </c>
      <c r="D71" s="5">
        <v>0.5</v>
      </c>
      <c r="E71" s="6"/>
      <c r="F71" s="6"/>
      <c r="G71" s="24" t="s">
        <v>22</v>
      </c>
      <c r="H71" s="6"/>
      <c r="I71" s="6"/>
      <c r="J71" s="24" t="s">
        <v>22</v>
      </c>
      <c r="K71" s="6"/>
      <c r="L71" s="6"/>
      <c r="M71" s="24" t="s">
        <v>22</v>
      </c>
      <c r="N71" s="6"/>
      <c r="O71" s="6"/>
      <c r="P71" s="24" t="s">
        <v>22</v>
      </c>
    </row>
    <row r="72" spans="1:16" ht="18" customHeight="1" x14ac:dyDescent="0.3">
      <c r="A72" s="22" t="s">
        <v>39</v>
      </c>
      <c r="B72" s="23" t="s">
        <v>26</v>
      </c>
      <c r="C72" s="4" t="s">
        <v>27</v>
      </c>
      <c r="D72" s="5">
        <v>1</v>
      </c>
      <c r="E72" s="6"/>
      <c r="F72" s="6"/>
      <c r="G72" s="24" t="s">
        <v>22</v>
      </c>
      <c r="H72" s="6"/>
      <c r="I72" s="6"/>
      <c r="J72" s="6"/>
      <c r="K72" s="6"/>
      <c r="L72" s="6"/>
      <c r="M72" s="24" t="s">
        <v>22</v>
      </c>
      <c r="N72" s="6"/>
      <c r="O72" s="6"/>
      <c r="P72" s="6"/>
    </row>
    <row r="73" spans="1:16" ht="18" customHeight="1" x14ac:dyDescent="0.3">
      <c r="A73" s="22" t="s">
        <v>39</v>
      </c>
      <c r="B73" s="23" t="s">
        <v>28</v>
      </c>
      <c r="C73" s="4" t="s">
        <v>27</v>
      </c>
      <c r="D73" s="5">
        <v>0.5</v>
      </c>
      <c r="E73" s="6"/>
      <c r="F73" s="6"/>
      <c r="G73" s="24" t="s">
        <v>22</v>
      </c>
      <c r="H73" s="6"/>
      <c r="I73" s="6"/>
      <c r="J73" s="6"/>
      <c r="K73" s="6"/>
      <c r="L73" s="6"/>
      <c r="M73" s="24" t="s">
        <v>22</v>
      </c>
      <c r="N73" s="6"/>
      <c r="O73" s="6"/>
      <c r="P73" s="6"/>
    </row>
    <row r="74" spans="1:16" ht="18" customHeight="1" x14ac:dyDescent="0.3">
      <c r="A74" s="22" t="s">
        <v>39</v>
      </c>
      <c r="B74" s="23" t="s">
        <v>30</v>
      </c>
      <c r="C74" s="4" t="s">
        <v>31</v>
      </c>
      <c r="D74" s="5">
        <v>1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24" t="s">
        <v>22</v>
      </c>
      <c r="P74" s="6"/>
    </row>
    <row r="75" spans="1:16" ht="18" customHeight="1" x14ac:dyDescent="0.3">
      <c r="A75" s="22" t="s">
        <v>39</v>
      </c>
      <c r="B75" s="23" t="s">
        <v>32</v>
      </c>
      <c r="C75" s="4" t="s">
        <v>31</v>
      </c>
      <c r="D75" s="5">
        <v>1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24" t="s">
        <v>22</v>
      </c>
      <c r="P75" s="6"/>
    </row>
    <row r="76" spans="1:16" ht="4.95" customHeight="1" x14ac:dyDescent="0.3">
      <c r="A76" s="27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</row>
    <row r="77" spans="1:16" ht="18" customHeight="1" x14ac:dyDescent="0.3">
      <c r="A77" s="22" t="s">
        <v>50</v>
      </c>
      <c r="B77" s="23" t="s">
        <v>20</v>
      </c>
      <c r="C77" s="4" t="s">
        <v>21</v>
      </c>
      <c r="D77" s="5">
        <v>0.5</v>
      </c>
      <c r="E77" s="24" t="s">
        <v>22</v>
      </c>
      <c r="F77" s="24" t="s">
        <v>22</v>
      </c>
      <c r="G77" s="24" t="s">
        <v>22</v>
      </c>
      <c r="H77" s="24" t="s">
        <v>22</v>
      </c>
      <c r="I77" s="24" t="s">
        <v>22</v>
      </c>
      <c r="J77" s="24" t="s">
        <v>22</v>
      </c>
      <c r="K77" s="24" t="s">
        <v>22</v>
      </c>
      <c r="L77" s="24" t="s">
        <v>22</v>
      </c>
      <c r="M77" s="24" t="s">
        <v>22</v>
      </c>
      <c r="N77" s="24" t="s">
        <v>22</v>
      </c>
      <c r="O77" s="24" t="s">
        <v>22</v>
      </c>
      <c r="P77" s="24" t="s">
        <v>22</v>
      </c>
    </row>
    <row r="78" spans="1:16" ht="18" customHeight="1" x14ac:dyDescent="0.3">
      <c r="A78" s="22" t="s">
        <v>50</v>
      </c>
      <c r="B78" s="23" t="s">
        <v>23</v>
      </c>
      <c r="C78" s="4" t="s">
        <v>24</v>
      </c>
      <c r="D78" s="5">
        <v>1</v>
      </c>
      <c r="E78" s="6"/>
      <c r="F78" s="6"/>
      <c r="G78" s="24" t="s">
        <v>22</v>
      </c>
      <c r="H78" s="6"/>
      <c r="I78" s="6"/>
      <c r="J78" s="24" t="s">
        <v>22</v>
      </c>
      <c r="K78" s="6"/>
      <c r="L78" s="6"/>
      <c r="M78" s="24" t="s">
        <v>22</v>
      </c>
      <c r="N78" s="6"/>
      <c r="O78" s="6"/>
      <c r="P78" s="24" t="s">
        <v>22</v>
      </c>
    </row>
    <row r="79" spans="1:16" ht="18" customHeight="1" x14ac:dyDescent="0.3">
      <c r="A79" s="22" t="s">
        <v>50</v>
      </c>
      <c r="B79" s="23" t="s">
        <v>25</v>
      </c>
      <c r="C79" s="4" t="s">
        <v>24</v>
      </c>
      <c r="D79" s="5">
        <v>0.5</v>
      </c>
      <c r="E79" s="6"/>
      <c r="F79" s="6"/>
      <c r="G79" s="24" t="s">
        <v>22</v>
      </c>
      <c r="H79" s="6"/>
      <c r="I79" s="6"/>
      <c r="J79" s="24" t="s">
        <v>22</v>
      </c>
      <c r="K79" s="6"/>
      <c r="L79" s="6"/>
      <c r="M79" s="24" t="s">
        <v>22</v>
      </c>
      <c r="N79" s="6"/>
      <c r="O79" s="6"/>
      <c r="P79" s="24" t="s">
        <v>22</v>
      </c>
    </row>
    <row r="80" spans="1:16" ht="18" customHeight="1" x14ac:dyDescent="0.3">
      <c r="A80" s="22" t="s">
        <v>50</v>
      </c>
      <c r="B80" s="23" t="s">
        <v>26</v>
      </c>
      <c r="C80" s="4" t="s">
        <v>27</v>
      </c>
      <c r="D80" s="5">
        <v>1</v>
      </c>
      <c r="E80" s="6"/>
      <c r="F80" s="6"/>
      <c r="G80" s="24" t="s">
        <v>22</v>
      </c>
      <c r="H80" s="6"/>
      <c r="I80" s="6"/>
      <c r="J80" s="6"/>
      <c r="K80" s="6"/>
      <c r="L80" s="6"/>
      <c r="M80" s="24" t="s">
        <v>22</v>
      </c>
      <c r="N80" s="6"/>
      <c r="O80" s="6"/>
      <c r="P80" s="6"/>
    </row>
    <row r="81" spans="1:16" ht="18" customHeight="1" x14ac:dyDescent="0.3">
      <c r="A81" s="22" t="s">
        <v>50</v>
      </c>
      <c r="B81" s="23" t="s">
        <v>28</v>
      </c>
      <c r="C81" s="4" t="s">
        <v>27</v>
      </c>
      <c r="D81" s="5">
        <v>0.5</v>
      </c>
      <c r="E81" s="6"/>
      <c r="F81" s="6"/>
      <c r="G81" s="24" t="s">
        <v>22</v>
      </c>
      <c r="H81" s="6"/>
      <c r="I81" s="6"/>
      <c r="J81" s="6"/>
      <c r="K81" s="6"/>
      <c r="L81" s="6"/>
      <c r="M81" s="24" t="s">
        <v>22</v>
      </c>
      <c r="N81" s="6"/>
      <c r="O81" s="6"/>
      <c r="P81" s="6"/>
    </row>
    <row r="82" spans="1:16" ht="18" customHeight="1" x14ac:dyDescent="0.3">
      <c r="A82" s="22" t="s">
        <v>50</v>
      </c>
      <c r="B82" s="23" t="s">
        <v>30</v>
      </c>
      <c r="C82" s="4" t="s">
        <v>31</v>
      </c>
      <c r="D82" s="5">
        <v>1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24" t="s">
        <v>22</v>
      </c>
      <c r="P82" s="6"/>
    </row>
    <row r="83" spans="1:16" ht="18" customHeight="1" x14ac:dyDescent="0.3">
      <c r="A83" s="22" t="s">
        <v>50</v>
      </c>
      <c r="B83" s="23" t="s">
        <v>32</v>
      </c>
      <c r="C83" s="4" t="s">
        <v>31</v>
      </c>
      <c r="D83" s="5">
        <v>1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24" t="s">
        <v>22</v>
      </c>
      <c r="P83" s="6"/>
    </row>
    <row r="84" spans="1:16" ht="4.95" customHeight="1" x14ac:dyDescent="0.3">
      <c r="A84" s="27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</row>
    <row r="85" spans="1:16" ht="18" customHeight="1" x14ac:dyDescent="0.3">
      <c r="A85" s="22" t="s">
        <v>51</v>
      </c>
      <c r="B85" s="23" t="s">
        <v>20</v>
      </c>
      <c r="C85" s="4" t="s">
        <v>21</v>
      </c>
      <c r="D85" s="5">
        <v>0.5</v>
      </c>
      <c r="E85" s="24" t="s">
        <v>22</v>
      </c>
      <c r="F85" s="24" t="s">
        <v>22</v>
      </c>
      <c r="G85" s="24" t="s">
        <v>22</v>
      </c>
      <c r="H85" s="24" t="s">
        <v>22</v>
      </c>
      <c r="I85" s="24" t="s">
        <v>22</v>
      </c>
      <c r="J85" s="24" t="s">
        <v>22</v>
      </c>
      <c r="K85" s="24" t="s">
        <v>22</v>
      </c>
      <c r="L85" s="24" t="s">
        <v>22</v>
      </c>
      <c r="M85" s="24" t="s">
        <v>22</v>
      </c>
      <c r="N85" s="24" t="s">
        <v>22</v>
      </c>
      <c r="O85" s="24" t="s">
        <v>22</v>
      </c>
      <c r="P85" s="24" t="s">
        <v>22</v>
      </c>
    </row>
    <row r="86" spans="1:16" ht="18" customHeight="1" x14ac:dyDescent="0.3">
      <c r="A86" s="22" t="s">
        <v>51</v>
      </c>
      <c r="B86" s="23" t="s">
        <v>23</v>
      </c>
      <c r="C86" s="4" t="s">
        <v>24</v>
      </c>
      <c r="D86" s="5">
        <v>1</v>
      </c>
      <c r="E86" s="6"/>
      <c r="F86" s="6"/>
      <c r="G86" s="24" t="s">
        <v>22</v>
      </c>
      <c r="H86" s="6"/>
      <c r="I86" s="6"/>
      <c r="J86" s="24" t="s">
        <v>22</v>
      </c>
      <c r="K86" s="6"/>
      <c r="L86" s="6"/>
      <c r="M86" s="24" t="s">
        <v>22</v>
      </c>
      <c r="N86" s="6"/>
      <c r="O86" s="6"/>
      <c r="P86" s="24" t="s">
        <v>22</v>
      </c>
    </row>
    <row r="87" spans="1:16" ht="18" customHeight="1" x14ac:dyDescent="0.3">
      <c r="A87" s="22" t="s">
        <v>51</v>
      </c>
      <c r="B87" s="23" t="s">
        <v>25</v>
      </c>
      <c r="C87" s="4" t="s">
        <v>24</v>
      </c>
      <c r="D87" s="5">
        <v>0.5</v>
      </c>
      <c r="E87" s="6"/>
      <c r="F87" s="6"/>
      <c r="G87" s="24" t="s">
        <v>22</v>
      </c>
      <c r="H87" s="6"/>
      <c r="I87" s="6"/>
      <c r="J87" s="24" t="s">
        <v>22</v>
      </c>
      <c r="K87" s="6"/>
      <c r="L87" s="6"/>
      <c r="M87" s="24" t="s">
        <v>22</v>
      </c>
      <c r="N87" s="6"/>
      <c r="O87" s="6"/>
      <c r="P87" s="24" t="s">
        <v>22</v>
      </c>
    </row>
    <row r="88" spans="1:16" ht="18" customHeight="1" x14ac:dyDescent="0.3">
      <c r="A88" s="22" t="s">
        <v>51</v>
      </c>
      <c r="B88" s="23" t="s">
        <v>26</v>
      </c>
      <c r="C88" s="4" t="s">
        <v>27</v>
      </c>
      <c r="D88" s="5">
        <v>1</v>
      </c>
      <c r="E88" s="6"/>
      <c r="F88" s="6"/>
      <c r="G88" s="24" t="s">
        <v>22</v>
      </c>
      <c r="H88" s="6"/>
      <c r="I88" s="6"/>
      <c r="J88" s="6"/>
      <c r="K88" s="6"/>
      <c r="L88" s="6"/>
      <c r="M88" s="24" t="s">
        <v>22</v>
      </c>
      <c r="N88" s="6"/>
      <c r="O88" s="6"/>
      <c r="P88" s="6"/>
    </row>
    <row r="89" spans="1:16" ht="18" customHeight="1" x14ac:dyDescent="0.3">
      <c r="A89" s="22" t="s">
        <v>51</v>
      </c>
      <c r="B89" s="23" t="s">
        <v>28</v>
      </c>
      <c r="C89" s="4" t="s">
        <v>27</v>
      </c>
      <c r="D89" s="5">
        <v>0.5</v>
      </c>
      <c r="E89" s="6"/>
      <c r="F89" s="6"/>
      <c r="G89" s="24" t="s">
        <v>22</v>
      </c>
      <c r="H89" s="6"/>
      <c r="I89" s="6"/>
      <c r="J89" s="6"/>
      <c r="K89" s="6"/>
      <c r="L89" s="6"/>
      <c r="M89" s="24" t="s">
        <v>22</v>
      </c>
      <c r="N89" s="6"/>
      <c r="O89" s="6"/>
      <c r="P89" s="6"/>
    </row>
    <row r="90" spans="1:16" ht="18" customHeight="1" x14ac:dyDescent="0.3">
      <c r="A90" s="22" t="s">
        <v>51</v>
      </c>
      <c r="B90" s="23" t="s">
        <v>30</v>
      </c>
      <c r="C90" s="4" t="s">
        <v>31</v>
      </c>
      <c r="D90" s="5">
        <v>1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24" t="s">
        <v>22</v>
      </c>
      <c r="P90" s="6"/>
    </row>
    <row r="91" spans="1:16" ht="18" customHeight="1" x14ac:dyDescent="0.3">
      <c r="A91" s="22" t="s">
        <v>51</v>
      </c>
      <c r="B91" s="23" t="s">
        <v>32</v>
      </c>
      <c r="C91" s="4" t="s">
        <v>31</v>
      </c>
      <c r="D91" s="5">
        <v>1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24" t="s">
        <v>22</v>
      </c>
      <c r="P91" s="6"/>
    </row>
    <row r="92" spans="1:16" ht="4.95" customHeight="1" x14ac:dyDescent="0.3">
      <c r="A92" s="27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</row>
    <row r="93" spans="1:16" ht="18" customHeight="1" x14ac:dyDescent="0.3">
      <c r="A93" s="22" t="s">
        <v>40</v>
      </c>
      <c r="B93" s="23" t="s">
        <v>20</v>
      </c>
      <c r="C93" s="4" t="s">
        <v>21</v>
      </c>
      <c r="D93" s="5">
        <v>0.5</v>
      </c>
      <c r="E93" s="24" t="s">
        <v>22</v>
      </c>
      <c r="F93" s="24" t="s">
        <v>22</v>
      </c>
      <c r="G93" s="24" t="s">
        <v>22</v>
      </c>
      <c r="H93" s="24" t="s">
        <v>22</v>
      </c>
      <c r="I93" s="24" t="s">
        <v>22</v>
      </c>
      <c r="J93" s="24" t="s">
        <v>22</v>
      </c>
      <c r="K93" s="24" t="s">
        <v>22</v>
      </c>
      <c r="L93" s="24" t="s">
        <v>22</v>
      </c>
      <c r="M93" s="24" t="s">
        <v>22</v>
      </c>
      <c r="N93" s="24" t="s">
        <v>22</v>
      </c>
      <c r="O93" s="24" t="s">
        <v>22</v>
      </c>
      <c r="P93" s="24" t="s">
        <v>22</v>
      </c>
    </row>
    <row r="94" spans="1:16" ht="18" customHeight="1" x14ac:dyDescent="0.3">
      <c r="A94" s="22" t="s">
        <v>40</v>
      </c>
      <c r="B94" s="23" t="s">
        <v>23</v>
      </c>
      <c r="C94" s="4" t="s">
        <v>24</v>
      </c>
      <c r="D94" s="5">
        <v>1</v>
      </c>
      <c r="E94" s="6"/>
      <c r="F94" s="6"/>
      <c r="G94" s="24" t="s">
        <v>22</v>
      </c>
      <c r="H94" s="6"/>
      <c r="I94" s="6"/>
      <c r="J94" s="24" t="s">
        <v>22</v>
      </c>
      <c r="K94" s="6"/>
      <c r="L94" s="6"/>
      <c r="M94" s="24" t="s">
        <v>22</v>
      </c>
      <c r="N94" s="6"/>
      <c r="O94" s="6"/>
      <c r="P94" s="24" t="s">
        <v>22</v>
      </c>
    </row>
    <row r="95" spans="1:16" ht="18" customHeight="1" x14ac:dyDescent="0.3">
      <c r="A95" s="22" t="s">
        <v>40</v>
      </c>
      <c r="B95" s="23" t="s">
        <v>25</v>
      </c>
      <c r="C95" s="4" t="s">
        <v>24</v>
      </c>
      <c r="D95" s="5">
        <v>0.5</v>
      </c>
      <c r="E95" s="6"/>
      <c r="F95" s="6"/>
      <c r="G95" s="24" t="s">
        <v>22</v>
      </c>
      <c r="H95" s="6"/>
      <c r="I95" s="6"/>
      <c r="J95" s="24" t="s">
        <v>22</v>
      </c>
      <c r="K95" s="6"/>
      <c r="L95" s="6"/>
      <c r="M95" s="24" t="s">
        <v>22</v>
      </c>
      <c r="N95" s="6"/>
      <c r="O95" s="6"/>
      <c r="P95" s="24" t="s">
        <v>22</v>
      </c>
    </row>
    <row r="96" spans="1:16" ht="18" customHeight="1" x14ac:dyDescent="0.3">
      <c r="A96" s="22" t="s">
        <v>40</v>
      </c>
      <c r="B96" s="23" t="s">
        <v>26</v>
      </c>
      <c r="C96" s="4" t="s">
        <v>27</v>
      </c>
      <c r="D96" s="5">
        <v>1</v>
      </c>
      <c r="E96" s="6"/>
      <c r="F96" s="6"/>
      <c r="G96" s="24" t="s">
        <v>22</v>
      </c>
      <c r="H96" s="6"/>
      <c r="I96" s="6"/>
      <c r="J96" s="6"/>
      <c r="K96" s="6"/>
      <c r="L96" s="6"/>
      <c r="M96" s="24" t="s">
        <v>22</v>
      </c>
      <c r="N96" s="6"/>
      <c r="O96" s="6"/>
      <c r="P96" s="6"/>
    </row>
    <row r="97" spans="1:16" ht="18" customHeight="1" x14ac:dyDescent="0.3">
      <c r="A97" s="22" t="s">
        <v>40</v>
      </c>
      <c r="B97" s="23" t="s">
        <v>28</v>
      </c>
      <c r="C97" s="4" t="s">
        <v>27</v>
      </c>
      <c r="D97" s="5">
        <v>0.5</v>
      </c>
      <c r="E97" s="6"/>
      <c r="F97" s="6"/>
      <c r="G97" s="24" t="s">
        <v>22</v>
      </c>
      <c r="H97" s="6"/>
      <c r="I97" s="6"/>
      <c r="J97" s="6"/>
      <c r="K97" s="6"/>
      <c r="L97" s="6"/>
      <c r="M97" s="24" t="s">
        <v>22</v>
      </c>
      <c r="N97" s="6"/>
      <c r="O97" s="6"/>
      <c r="P97" s="6"/>
    </row>
    <row r="98" spans="1:16" ht="18" customHeight="1" x14ac:dyDescent="0.3">
      <c r="A98" s="22" t="s">
        <v>40</v>
      </c>
      <c r="B98" s="23" t="s">
        <v>30</v>
      </c>
      <c r="C98" s="4" t="s">
        <v>31</v>
      </c>
      <c r="D98" s="5">
        <v>1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8" customHeight="1" x14ac:dyDescent="0.3">
      <c r="A99" s="22" t="s">
        <v>40</v>
      </c>
      <c r="B99" s="23" t="s">
        <v>32</v>
      </c>
      <c r="C99" s="4" t="s">
        <v>31</v>
      </c>
      <c r="D99" s="5">
        <v>1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4.95" customHeight="1" x14ac:dyDescent="0.3">
      <c r="A100" s="27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</row>
    <row r="101" spans="1:16" ht="18" customHeight="1" x14ac:dyDescent="0.3">
      <c r="A101" s="22" t="s">
        <v>41</v>
      </c>
      <c r="B101" s="23" t="s">
        <v>20</v>
      </c>
      <c r="C101" s="4" t="s">
        <v>21</v>
      </c>
      <c r="D101" s="5">
        <v>1</v>
      </c>
      <c r="E101" s="24" t="s">
        <v>22</v>
      </c>
      <c r="F101" s="24" t="s">
        <v>22</v>
      </c>
      <c r="G101" s="24" t="s">
        <v>22</v>
      </c>
      <c r="H101" s="24" t="s">
        <v>22</v>
      </c>
      <c r="I101" s="24" t="s">
        <v>22</v>
      </c>
      <c r="J101" s="24" t="s">
        <v>22</v>
      </c>
      <c r="K101" s="24" t="s">
        <v>22</v>
      </c>
      <c r="L101" s="24" t="s">
        <v>22</v>
      </c>
      <c r="M101" s="24" t="s">
        <v>22</v>
      </c>
      <c r="N101" s="24" t="s">
        <v>22</v>
      </c>
      <c r="O101" s="24" t="s">
        <v>22</v>
      </c>
      <c r="P101" s="24" t="s">
        <v>22</v>
      </c>
    </row>
    <row r="102" spans="1:16" ht="18" customHeight="1" x14ac:dyDescent="0.3">
      <c r="A102" s="22" t="s">
        <v>41</v>
      </c>
      <c r="B102" s="23" t="s">
        <v>23</v>
      </c>
      <c r="C102" s="4" t="s">
        <v>24</v>
      </c>
      <c r="D102" s="5">
        <v>1</v>
      </c>
      <c r="E102" s="6"/>
      <c r="F102" s="6"/>
      <c r="G102" s="24" t="s">
        <v>22</v>
      </c>
      <c r="H102" s="6"/>
      <c r="I102" s="6"/>
      <c r="J102" s="24" t="s">
        <v>22</v>
      </c>
      <c r="K102" s="6"/>
      <c r="L102" s="6"/>
      <c r="M102" s="24" t="s">
        <v>22</v>
      </c>
      <c r="N102" s="6"/>
      <c r="O102" s="6"/>
      <c r="P102" s="24" t="s">
        <v>22</v>
      </c>
    </row>
    <row r="103" spans="1:16" ht="18" customHeight="1" x14ac:dyDescent="0.3">
      <c r="A103" s="22" t="s">
        <v>41</v>
      </c>
      <c r="B103" s="23" t="s">
        <v>25</v>
      </c>
      <c r="C103" s="4" t="s">
        <v>24</v>
      </c>
      <c r="D103" s="5">
        <v>1</v>
      </c>
      <c r="E103" s="6"/>
      <c r="F103" s="6"/>
      <c r="G103" s="24" t="s">
        <v>22</v>
      </c>
      <c r="H103" s="6"/>
      <c r="I103" s="6"/>
      <c r="J103" s="24" t="s">
        <v>22</v>
      </c>
      <c r="K103" s="6"/>
      <c r="L103" s="6"/>
      <c r="M103" s="24" t="s">
        <v>22</v>
      </c>
      <c r="N103" s="6"/>
      <c r="O103" s="6"/>
      <c r="P103" s="24" t="s">
        <v>22</v>
      </c>
    </row>
    <row r="104" spans="1:16" ht="18" customHeight="1" x14ac:dyDescent="0.3">
      <c r="A104" s="22" t="s">
        <v>41</v>
      </c>
      <c r="B104" s="23" t="s">
        <v>26</v>
      </c>
      <c r="C104" s="4" t="s">
        <v>27</v>
      </c>
      <c r="D104" s="5">
        <v>1</v>
      </c>
      <c r="E104" s="6"/>
      <c r="F104" s="6"/>
      <c r="G104" s="24" t="s">
        <v>22</v>
      </c>
      <c r="H104" s="6"/>
      <c r="I104" s="6"/>
      <c r="J104" s="6"/>
      <c r="K104" s="6"/>
      <c r="L104" s="6"/>
      <c r="M104" s="24" t="s">
        <v>22</v>
      </c>
      <c r="N104" s="6"/>
      <c r="O104" s="6"/>
      <c r="P104" s="6"/>
    </row>
    <row r="105" spans="1:16" ht="18" customHeight="1" x14ac:dyDescent="0.3">
      <c r="A105" s="22" t="s">
        <v>41</v>
      </c>
      <c r="B105" s="23" t="s">
        <v>28</v>
      </c>
      <c r="C105" s="4" t="s">
        <v>27</v>
      </c>
      <c r="D105" s="5">
        <v>1</v>
      </c>
      <c r="E105" s="6"/>
      <c r="F105" s="6"/>
      <c r="G105" s="24" t="s">
        <v>22</v>
      </c>
      <c r="H105" s="6"/>
      <c r="I105" s="6"/>
      <c r="J105" s="6"/>
      <c r="K105" s="6"/>
      <c r="L105" s="6"/>
      <c r="M105" s="24" t="s">
        <v>22</v>
      </c>
      <c r="N105" s="6"/>
      <c r="O105" s="6"/>
      <c r="P105" s="6"/>
    </row>
    <row r="106" spans="1:16" ht="18" customHeight="1" x14ac:dyDescent="0.3">
      <c r="A106" s="22" t="s">
        <v>41</v>
      </c>
      <c r="B106" s="23" t="s">
        <v>29</v>
      </c>
      <c r="C106" s="4" t="s">
        <v>27</v>
      </c>
      <c r="D106" s="5">
        <v>1</v>
      </c>
      <c r="E106" s="6"/>
      <c r="F106" s="6"/>
      <c r="G106" s="24" t="s">
        <v>22</v>
      </c>
      <c r="H106" s="6"/>
      <c r="I106" s="6"/>
      <c r="J106" s="6"/>
      <c r="K106" s="6"/>
      <c r="L106" s="6"/>
      <c r="M106" s="24" t="s">
        <v>22</v>
      </c>
      <c r="N106" s="6"/>
      <c r="O106" s="6"/>
      <c r="P106" s="6"/>
    </row>
    <row r="107" spans="1:16" ht="18" customHeight="1" x14ac:dyDescent="0.3">
      <c r="A107" s="22" t="s">
        <v>41</v>
      </c>
      <c r="B107" s="23" t="s">
        <v>30</v>
      </c>
      <c r="C107" s="4" t="s">
        <v>31</v>
      </c>
      <c r="D107" s="5">
        <v>2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24" t="s">
        <v>22</v>
      </c>
      <c r="P107" s="6"/>
    </row>
    <row r="108" spans="1:16" ht="18" customHeight="1" x14ac:dyDescent="0.3">
      <c r="A108" s="22" t="s">
        <v>41</v>
      </c>
      <c r="B108" s="23" t="s">
        <v>32</v>
      </c>
      <c r="C108" s="4" t="s">
        <v>31</v>
      </c>
      <c r="D108" s="5">
        <v>1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24" t="s">
        <v>22</v>
      </c>
      <c r="P108" s="6"/>
    </row>
    <row r="109" spans="1:16" ht="4.95" customHeight="1" x14ac:dyDescent="0.3">
      <c r="A109" s="27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</row>
    <row r="110" spans="1:16" ht="18" customHeight="1" x14ac:dyDescent="0.3">
      <c r="A110" s="22" t="s">
        <v>42</v>
      </c>
      <c r="B110" s="23" t="s">
        <v>20</v>
      </c>
      <c r="C110" s="4" t="s">
        <v>21</v>
      </c>
      <c r="D110" s="5">
        <v>0.5</v>
      </c>
      <c r="E110" s="24" t="s">
        <v>22</v>
      </c>
      <c r="F110" s="24" t="s">
        <v>22</v>
      </c>
      <c r="G110" s="24" t="s">
        <v>22</v>
      </c>
      <c r="H110" s="24" t="s">
        <v>22</v>
      </c>
      <c r="I110" s="24" t="s">
        <v>22</v>
      </c>
      <c r="J110" s="24" t="s">
        <v>22</v>
      </c>
      <c r="K110" s="24" t="s">
        <v>22</v>
      </c>
      <c r="L110" s="24" t="s">
        <v>22</v>
      </c>
      <c r="M110" s="24" t="s">
        <v>22</v>
      </c>
      <c r="N110" s="24" t="s">
        <v>22</v>
      </c>
      <c r="O110" s="24" t="s">
        <v>22</v>
      </c>
      <c r="P110" s="24" t="s">
        <v>22</v>
      </c>
    </row>
    <row r="111" spans="1:16" ht="18" customHeight="1" x14ac:dyDescent="0.3">
      <c r="A111" s="22" t="s">
        <v>42</v>
      </c>
      <c r="B111" s="23" t="s">
        <v>23</v>
      </c>
      <c r="C111" s="4" t="s">
        <v>24</v>
      </c>
      <c r="D111" s="5">
        <v>1</v>
      </c>
      <c r="E111" s="6"/>
      <c r="F111" s="6"/>
      <c r="G111" s="24" t="s">
        <v>22</v>
      </c>
      <c r="H111" s="6"/>
      <c r="I111" s="6"/>
      <c r="J111" s="24" t="s">
        <v>22</v>
      </c>
      <c r="K111" s="6"/>
      <c r="L111" s="6"/>
      <c r="M111" s="24" t="s">
        <v>22</v>
      </c>
      <c r="N111" s="6"/>
      <c r="O111" s="6"/>
      <c r="P111" s="24" t="s">
        <v>22</v>
      </c>
    </row>
    <row r="112" spans="1:16" ht="18" customHeight="1" x14ac:dyDescent="0.3">
      <c r="A112" s="22" t="s">
        <v>42</v>
      </c>
      <c r="B112" s="23" t="s">
        <v>25</v>
      </c>
      <c r="C112" s="4" t="s">
        <v>24</v>
      </c>
      <c r="D112" s="5">
        <v>0.5</v>
      </c>
      <c r="E112" s="6"/>
      <c r="F112" s="6"/>
      <c r="G112" s="24" t="s">
        <v>22</v>
      </c>
      <c r="H112" s="6"/>
      <c r="I112" s="6"/>
      <c r="J112" s="24" t="s">
        <v>22</v>
      </c>
      <c r="K112" s="6"/>
      <c r="L112" s="6"/>
      <c r="M112" s="24" t="s">
        <v>22</v>
      </c>
      <c r="N112" s="6"/>
      <c r="O112" s="6"/>
      <c r="P112" s="24" t="s">
        <v>22</v>
      </c>
    </row>
    <row r="113" spans="1:16" ht="18" customHeight="1" x14ac:dyDescent="0.3">
      <c r="A113" s="22" t="s">
        <v>42</v>
      </c>
      <c r="B113" s="23" t="s">
        <v>26</v>
      </c>
      <c r="C113" s="4" t="s">
        <v>27</v>
      </c>
      <c r="D113" s="5">
        <v>1</v>
      </c>
      <c r="E113" s="6"/>
      <c r="F113" s="6"/>
      <c r="G113" s="24" t="s">
        <v>22</v>
      </c>
      <c r="H113" s="6"/>
      <c r="I113" s="6"/>
      <c r="J113" s="6"/>
      <c r="K113" s="6"/>
      <c r="L113" s="6"/>
      <c r="M113" s="24" t="s">
        <v>22</v>
      </c>
      <c r="N113" s="6"/>
      <c r="O113" s="6"/>
      <c r="P113" s="6"/>
    </row>
    <row r="114" spans="1:16" ht="18" customHeight="1" x14ac:dyDescent="0.3">
      <c r="A114" s="22" t="s">
        <v>42</v>
      </c>
      <c r="B114" s="23" t="s">
        <v>28</v>
      </c>
      <c r="C114" s="4" t="s">
        <v>27</v>
      </c>
      <c r="D114" s="5">
        <v>0.5</v>
      </c>
      <c r="E114" s="6"/>
      <c r="F114" s="6"/>
      <c r="G114" s="24" t="s">
        <v>22</v>
      </c>
      <c r="H114" s="6"/>
      <c r="I114" s="6"/>
      <c r="J114" s="6"/>
      <c r="K114" s="6"/>
      <c r="L114" s="6"/>
      <c r="M114" s="24" t="s">
        <v>22</v>
      </c>
      <c r="N114" s="6"/>
      <c r="O114" s="6"/>
      <c r="P114" s="6"/>
    </row>
    <row r="115" spans="1:16" ht="18" customHeight="1" x14ac:dyDescent="0.3">
      <c r="A115" s="22" t="s">
        <v>42</v>
      </c>
      <c r="B115" s="23" t="s">
        <v>30</v>
      </c>
      <c r="C115" s="4" t="s">
        <v>31</v>
      </c>
      <c r="D115" s="5">
        <v>1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24" t="s">
        <v>22</v>
      </c>
      <c r="P115" s="6"/>
    </row>
    <row r="116" spans="1:16" ht="18" customHeight="1" x14ac:dyDescent="0.3">
      <c r="A116" s="22" t="s">
        <v>42</v>
      </c>
      <c r="B116" s="23" t="s">
        <v>32</v>
      </c>
      <c r="C116" s="4" t="s">
        <v>31</v>
      </c>
      <c r="D116" s="5">
        <v>1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24" t="s">
        <v>22</v>
      </c>
      <c r="P116" s="6"/>
    </row>
    <row r="117" spans="1:16" ht="4.95" customHeight="1" x14ac:dyDescent="0.3">
      <c r="A117" s="27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</row>
    <row r="118" spans="1:16" ht="18" customHeight="1" x14ac:dyDescent="0.3">
      <c r="A118" s="22" t="s">
        <v>43</v>
      </c>
      <c r="B118" s="23" t="s">
        <v>20</v>
      </c>
      <c r="C118" s="4" t="s">
        <v>21</v>
      </c>
      <c r="D118" s="5">
        <v>0.5</v>
      </c>
      <c r="E118" s="24" t="s">
        <v>22</v>
      </c>
      <c r="F118" s="24" t="s">
        <v>22</v>
      </c>
      <c r="G118" s="24" t="s">
        <v>22</v>
      </c>
      <c r="H118" s="24" t="s">
        <v>22</v>
      </c>
      <c r="I118" s="24" t="s">
        <v>22</v>
      </c>
      <c r="J118" s="24" t="s">
        <v>22</v>
      </c>
      <c r="K118" s="24" t="s">
        <v>22</v>
      </c>
      <c r="L118" s="24" t="s">
        <v>22</v>
      </c>
      <c r="M118" s="24" t="s">
        <v>22</v>
      </c>
      <c r="N118" s="24" t="s">
        <v>22</v>
      </c>
      <c r="O118" s="24" t="s">
        <v>22</v>
      </c>
      <c r="P118" s="24" t="s">
        <v>22</v>
      </c>
    </row>
    <row r="119" spans="1:16" ht="18" customHeight="1" x14ac:dyDescent="0.3">
      <c r="A119" s="22" t="s">
        <v>43</v>
      </c>
      <c r="B119" s="23" t="s">
        <v>23</v>
      </c>
      <c r="C119" s="4" t="s">
        <v>24</v>
      </c>
      <c r="D119" s="5">
        <v>1</v>
      </c>
      <c r="E119" s="6"/>
      <c r="F119" s="6"/>
      <c r="G119" s="24" t="s">
        <v>22</v>
      </c>
      <c r="H119" s="6"/>
      <c r="I119" s="6"/>
      <c r="J119" s="24" t="s">
        <v>22</v>
      </c>
      <c r="K119" s="6"/>
      <c r="L119" s="6"/>
      <c r="M119" s="24" t="s">
        <v>22</v>
      </c>
      <c r="N119" s="6"/>
      <c r="O119" s="6"/>
      <c r="P119" s="24" t="s">
        <v>22</v>
      </c>
    </row>
    <row r="120" spans="1:16" ht="18" customHeight="1" x14ac:dyDescent="0.3">
      <c r="A120" s="22" t="s">
        <v>43</v>
      </c>
      <c r="B120" s="23" t="s">
        <v>25</v>
      </c>
      <c r="C120" s="4" t="s">
        <v>24</v>
      </c>
      <c r="D120" s="5">
        <v>0.5</v>
      </c>
      <c r="E120" s="6"/>
      <c r="F120" s="6"/>
      <c r="G120" s="24" t="s">
        <v>22</v>
      </c>
      <c r="H120" s="6"/>
      <c r="I120" s="6"/>
      <c r="J120" s="24" t="s">
        <v>22</v>
      </c>
      <c r="K120" s="6"/>
      <c r="L120" s="6"/>
      <c r="M120" s="24" t="s">
        <v>22</v>
      </c>
      <c r="N120" s="6"/>
      <c r="O120" s="6"/>
      <c r="P120" s="24" t="s">
        <v>22</v>
      </c>
    </row>
    <row r="121" spans="1:16" ht="18" customHeight="1" x14ac:dyDescent="0.3">
      <c r="A121" s="22" t="s">
        <v>43</v>
      </c>
      <c r="B121" s="23" t="s">
        <v>26</v>
      </c>
      <c r="C121" s="4" t="s">
        <v>27</v>
      </c>
      <c r="D121" s="5">
        <v>1</v>
      </c>
      <c r="E121" s="6"/>
      <c r="F121" s="6"/>
      <c r="G121" s="24" t="s">
        <v>22</v>
      </c>
      <c r="H121" s="6"/>
      <c r="I121" s="6"/>
      <c r="J121" s="6"/>
      <c r="K121" s="6"/>
      <c r="L121" s="6"/>
      <c r="M121" s="24" t="s">
        <v>22</v>
      </c>
      <c r="N121" s="6"/>
      <c r="O121" s="6"/>
      <c r="P121" s="6"/>
    </row>
    <row r="122" spans="1:16" ht="18" customHeight="1" x14ac:dyDescent="0.3">
      <c r="A122" s="22" t="s">
        <v>43</v>
      </c>
      <c r="B122" s="23" t="s">
        <v>28</v>
      </c>
      <c r="C122" s="4" t="s">
        <v>27</v>
      </c>
      <c r="D122" s="5">
        <v>0.5</v>
      </c>
      <c r="E122" s="6"/>
      <c r="F122" s="6"/>
      <c r="G122" s="24" t="s">
        <v>22</v>
      </c>
      <c r="H122" s="6"/>
      <c r="I122" s="6"/>
      <c r="J122" s="6"/>
      <c r="K122" s="6"/>
      <c r="L122" s="6"/>
      <c r="M122" s="24" t="s">
        <v>22</v>
      </c>
      <c r="N122" s="6"/>
      <c r="O122" s="6"/>
      <c r="P122" s="6"/>
    </row>
    <row r="123" spans="1:16" ht="18" customHeight="1" x14ac:dyDescent="0.3">
      <c r="A123" s="22" t="s">
        <v>43</v>
      </c>
      <c r="B123" s="23" t="s">
        <v>29</v>
      </c>
      <c r="C123" s="4" t="s">
        <v>27</v>
      </c>
      <c r="D123" s="5">
        <v>1</v>
      </c>
      <c r="E123" s="6"/>
      <c r="F123" s="6"/>
      <c r="G123" s="24" t="s">
        <v>22</v>
      </c>
      <c r="H123" s="6"/>
      <c r="I123" s="6"/>
      <c r="J123" s="6"/>
      <c r="K123" s="6"/>
      <c r="L123" s="6"/>
      <c r="M123" s="24" t="s">
        <v>22</v>
      </c>
      <c r="N123" s="6"/>
      <c r="O123" s="6"/>
      <c r="P123" s="6"/>
    </row>
    <row r="124" spans="1:16" ht="18" customHeight="1" x14ac:dyDescent="0.3">
      <c r="A124" s="22" t="s">
        <v>43</v>
      </c>
      <c r="B124" s="23" t="s">
        <v>30</v>
      </c>
      <c r="C124" s="4" t="s">
        <v>31</v>
      </c>
      <c r="D124" s="5">
        <v>1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24" t="s">
        <v>22</v>
      </c>
      <c r="P124" s="6"/>
    </row>
    <row r="125" spans="1:16" ht="18" customHeight="1" x14ac:dyDescent="0.3">
      <c r="A125" s="22" t="s">
        <v>43</v>
      </c>
      <c r="B125" s="23" t="s">
        <v>32</v>
      </c>
      <c r="C125" s="4" t="s">
        <v>31</v>
      </c>
      <c r="D125" s="5">
        <v>1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24" t="s">
        <v>22</v>
      </c>
      <c r="P125" s="6"/>
    </row>
    <row r="126" spans="1:16" ht="4.95" customHeight="1" x14ac:dyDescent="0.3">
      <c r="A126" s="27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</row>
    <row r="127" spans="1:16" ht="24" customHeight="1" x14ac:dyDescent="0.3">
      <c r="A127" s="28" t="s">
        <v>52</v>
      </c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</row>
  </sheetData>
  <mergeCells count="18">
    <mergeCell ref="A100:P100"/>
    <mergeCell ref="A109:P109"/>
    <mergeCell ref="A1:P1"/>
    <mergeCell ref="A23:P23"/>
    <mergeCell ref="A126:P126"/>
    <mergeCell ref="A127:P127"/>
    <mergeCell ref="A50:P50"/>
    <mergeCell ref="A3:P3"/>
    <mergeCell ref="A117:P117"/>
    <mergeCell ref="A59:P59"/>
    <mergeCell ref="A68:P68"/>
    <mergeCell ref="A41:P41"/>
    <mergeCell ref="A2:P2"/>
    <mergeCell ref="A76:P76"/>
    <mergeCell ref="A84:P84"/>
    <mergeCell ref="A32:P32"/>
    <mergeCell ref="A92:P92"/>
    <mergeCell ref="A14:P14"/>
  </mergeCells>
  <pageMargins left="0.74803149606299213" right="0.74803149606299213" top="0.98425196850393704" bottom="0.98425196850393704" header="0.51181102362204722" footer="0.51181102362204722"/>
  <pageSetup paperSize="9" scale="42" fitToHeight="7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"/>
  <sheetViews>
    <sheetView showGridLines="0" topLeftCell="A17" workbookViewId="0">
      <selection activeCell="O98" sqref="O98"/>
    </sheetView>
  </sheetViews>
  <sheetFormatPr baseColWidth="10" defaultColWidth="8.77734375" defaultRowHeight="14.4" x14ac:dyDescent="0.3"/>
  <cols>
    <col min="1" max="1" width="26" customWidth="1"/>
    <col min="2" max="2" width="42" customWidth="1"/>
    <col min="3" max="14" width="7" customWidth="1"/>
    <col min="15" max="15" width="12" customWidth="1"/>
    <col min="16" max="16" width="13" customWidth="1"/>
  </cols>
  <sheetData>
    <row r="1" spans="1:16" ht="24" customHeight="1" x14ac:dyDescent="0.3">
      <c r="A1" s="32" t="s">
        <v>44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 x14ac:dyDescent="0.3">
      <c r="A2" s="33" t="s">
        <v>45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ht="6" customHeight="1" x14ac:dyDescent="0.3"/>
    <row r="4" spans="1:16" ht="22.05" customHeight="1" x14ac:dyDescent="0.3">
      <c r="A4" s="1" t="s">
        <v>3</v>
      </c>
      <c r="B4" s="1" t="s">
        <v>4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  <c r="N4" s="1" t="s">
        <v>18</v>
      </c>
      <c r="O4" s="1" t="s">
        <v>46</v>
      </c>
      <c r="P4" s="1" t="s">
        <v>47</v>
      </c>
    </row>
    <row r="5" spans="1:16" ht="16.05" customHeight="1" x14ac:dyDescent="0.3">
      <c r="A5" s="3" t="s">
        <v>19</v>
      </c>
      <c r="B5" s="18" t="s">
        <v>20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19">
        <f t="shared" ref="O5:O36" si="0">SUM(C5:N5)</f>
        <v>12</v>
      </c>
      <c r="P5" s="20">
        <f t="shared" ref="P5:P36" si="1">O5/12</f>
        <v>1</v>
      </c>
    </row>
    <row r="6" spans="1:16" ht="16.05" customHeight="1" x14ac:dyDescent="0.3">
      <c r="A6" s="3" t="s">
        <v>19</v>
      </c>
      <c r="B6" s="18" t="s">
        <v>23</v>
      </c>
      <c r="C6" s="4">
        <v>0</v>
      </c>
      <c r="D6" s="4">
        <v>0</v>
      </c>
      <c r="E6" s="4">
        <v>1</v>
      </c>
      <c r="F6" s="4">
        <v>0</v>
      </c>
      <c r="G6" s="4">
        <v>0</v>
      </c>
      <c r="H6" s="4">
        <v>1</v>
      </c>
      <c r="I6" s="4">
        <v>0</v>
      </c>
      <c r="J6" s="4">
        <v>0</v>
      </c>
      <c r="K6" s="4">
        <v>1</v>
      </c>
      <c r="L6" s="4">
        <v>0</v>
      </c>
      <c r="M6" s="4">
        <v>0</v>
      </c>
      <c r="N6" s="4">
        <v>1</v>
      </c>
      <c r="O6" s="19">
        <f t="shared" si="0"/>
        <v>4</v>
      </c>
      <c r="P6" s="20">
        <f t="shared" si="1"/>
        <v>0.33333333333333331</v>
      </c>
    </row>
    <row r="7" spans="1:16" ht="16.05" customHeight="1" x14ac:dyDescent="0.3">
      <c r="A7" s="3" t="s">
        <v>19</v>
      </c>
      <c r="B7" s="18" t="s">
        <v>25</v>
      </c>
      <c r="C7" s="4">
        <v>0</v>
      </c>
      <c r="D7" s="4">
        <v>0</v>
      </c>
      <c r="E7" s="4">
        <v>1</v>
      </c>
      <c r="F7" s="4">
        <v>0</v>
      </c>
      <c r="G7" s="4">
        <v>0</v>
      </c>
      <c r="H7" s="4">
        <v>1</v>
      </c>
      <c r="I7" s="4">
        <v>0</v>
      </c>
      <c r="J7" s="4">
        <v>0</v>
      </c>
      <c r="K7" s="4">
        <v>1</v>
      </c>
      <c r="L7" s="4">
        <v>0</v>
      </c>
      <c r="M7" s="4">
        <v>0</v>
      </c>
      <c r="N7" s="4">
        <v>1</v>
      </c>
      <c r="O7" s="19">
        <f t="shared" si="0"/>
        <v>4</v>
      </c>
      <c r="P7" s="20">
        <f t="shared" si="1"/>
        <v>0.33333333333333331</v>
      </c>
    </row>
    <row r="8" spans="1:16" ht="16.05" customHeight="1" x14ac:dyDescent="0.3">
      <c r="A8" s="3" t="s">
        <v>19</v>
      </c>
      <c r="B8" s="18" t="s">
        <v>26</v>
      </c>
      <c r="C8" s="4">
        <v>0</v>
      </c>
      <c r="D8" s="4">
        <v>0</v>
      </c>
      <c r="E8" s="4">
        <v>1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</v>
      </c>
      <c r="L8" s="4">
        <v>0</v>
      </c>
      <c r="M8" s="4">
        <v>0</v>
      </c>
      <c r="N8" s="4">
        <v>0</v>
      </c>
      <c r="O8" s="19">
        <f t="shared" si="0"/>
        <v>2</v>
      </c>
      <c r="P8" s="20">
        <f t="shared" si="1"/>
        <v>0.16666666666666666</v>
      </c>
    </row>
    <row r="9" spans="1:16" ht="16.05" customHeight="1" x14ac:dyDescent="0.3">
      <c r="A9" s="3" t="s">
        <v>19</v>
      </c>
      <c r="B9" s="18" t="s">
        <v>28</v>
      </c>
      <c r="C9" s="4">
        <v>0</v>
      </c>
      <c r="D9" s="4">
        <v>0</v>
      </c>
      <c r="E9" s="4">
        <v>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</v>
      </c>
      <c r="L9" s="4">
        <v>0</v>
      </c>
      <c r="M9" s="4">
        <v>0</v>
      </c>
      <c r="N9" s="4">
        <v>0</v>
      </c>
      <c r="O9" s="19">
        <f t="shared" si="0"/>
        <v>2</v>
      </c>
      <c r="P9" s="20">
        <f t="shared" si="1"/>
        <v>0.16666666666666666</v>
      </c>
    </row>
    <row r="10" spans="1:16" ht="16.05" customHeight="1" x14ac:dyDescent="0.3">
      <c r="A10" s="3" t="s">
        <v>19</v>
      </c>
      <c r="B10" s="18" t="s">
        <v>29</v>
      </c>
      <c r="C10" s="4">
        <v>0</v>
      </c>
      <c r="D10" s="4">
        <v>0</v>
      </c>
      <c r="E10" s="4">
        <v>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</v>
      </c>
      <c r="L10" s="4">
        <v>0</v>
      </c>
      <c r="M10" s="4">
        <v>0</v>
      </c>
      <c r="N10" s="4">
        <v>0</v>
      </c>
      <c r="O10" s="19">
        <f t="shared" si="0"/>
        <v>2</v>
      </c>
      <c r="P10" s="20">
        <f t="shared" si="1"/>
        <v>0.16666666666666666</v>
      </c>
    </row>
    <row r="11" spans="1:16" ht="16.05" customHeight="1" x14ac:dyDescent="0.3">
      <c r="A11" s="3" t="s">
        <v>19</v>
      </c>
      <c r="B11" s="18" t="s">
        <v>30</v>
      </c>
      <c r="C11" s="4">
        <v>0</v>
      </c>
      <c r="D11" s="4">
        <v>0</v>
      </c>
      <c r="E11" s="4">
        <v>0</v>
      </c>
      <c r="F11" s="4">
        <v>2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19">
        <f t="shared" si="0"/>
        <v>2</v>
      </c>
      <c r="P11" s="20">
        <f t="shared" si="1"/>
        <v>0.16666666666666666</v>
      </c>
    </row>
    <row r="12" spans="1:16" ht="16.05" customHeight="1" x14ac:dyDescent="0.3">
      <c r="A12" s="3" t="s">
        <v>19</v>
      </c>
      <c r="B12" s="18" t="s">
        <v>32</v>
      </c>
      <c r="C12" s="4">
        <v>0</v>
      </c>
      <c r="D12" s="4">
        <v>0</v>
      </c>
      <c r="E12" s="4">
        <v>0</v>
      </c>
      <c r="F12" s="4">
        <v>1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19">
        <f t="shared" si="0"/>
        <v>1</v>
      </c>
      <c r="P12" s="20">
        <f t="shared" si="1"/>
        <v>8.3333333333333329E-2</v>
      </c>
    </row>
    <row r="13" spans="1:16" ht="16.05" customHeight="1" x14ac:dyDescent="0.3">
      <c r="A13" s="7" t="s">
        <v>33</v>
      </c>
      <c r="B13" s="18" t="s">
        <v>20</v>
      </c>
      <c r="C13" s="4">
        <v>0.5</v>
      </c>
      <c r="D13" s="4">
        <v>0.5</v>
      </c>
      <c r="E13" s="4">
        <v>0.5</v>
      </c>
      <c r="F13" s="4">
        <v>0.5</v>
      </c>
      <c r="G13" s="4">
        <v>0.5</v>
      </c>
      <c r="H13" s="4">
        <v>0.5</v>
      </c>
      <c r="I13" s="4">
        <v>0.5</v>
      </c>
      <c r="J13" s="4">
        <v>0.5</v>
      </c>
      <c r="K13" s="4">
        <v>0.5</v>
      </c>
      <c r="L13" s="4">
        <v>0.5</v>
      </c>
      <c r="M13" s="4">
        <v>0.5</v>
      </c>
      <c r="N13" s="4">
        <v>0.5</v>
      </c>
      <c r="O13" s="19">
        <f t="shared" si="0"/>
        <v>6</v>
      </c>
      <c r="P13" s="20">
        <f t="shared" si="1"/>
        <v>0.5</v>
      </c>
    </row>
    <row r="14" spans="1:16" ht="16.05" customHeight="1" x14ac:dyDescent="0.3">
      <c r="A14" s="7" t="s">
        <v>33</v>
      </c>
      <c r="B14" s="18" t="s">
        <v>23</v>
      </c>
      <c r="C14" s="4">
        <v>0</v>
      </c>
      <c r="D14" s="4">
        <v>0</v>
      </c>
      <c r="E14" s="4">
        <v>1</v>
      </c>
      <c r="F14" s="4">
        <v>0</v>
      </c>
      <c r="G14" s="4">
        <v>0</v>
      </c>
      <c r="H14" s="4">
        <v>1</v>
      </c>
      <c r="I14" s="4">
        <v>0</v>
      </c>
      <c r="J14" s="4">
        <v>0</v>
      </c>
      <c r="K14" s="4">
        <v>1</v>
      </c>
      <c r="L14" s="4">
        <v>0</v>
      </c>
      <c r="M14" s="4">
        <v>0</v>
      </c>
      <c r="N14" s="4">
        <v>1</v>
      </c>
      <c r="O14" s="19">
        <f t="shared" si="0"/>
        <v>4</v>
      </c>
      <c r="P14" s="20">
        <f t="shared" si="1"/>
        <v>0.33333333333333331</v>
      </c>
    </row>
    <row r="15" spans="1:16" ht="16.05" customHeight="1" x14ac:dyDescent="0.3">
      <c r="A15" s="7" t="s">
        <v>33</v>
      </c>
      <c r="B15" s="18" t="s">
        <v>25</v>
      </c>
      <c r="C15" s="4">
        <v>0</v>
      </c>
      <c r="D15" s="4">
        <v>0</v>
      </c>
      <c r="E15" s="4">
        <v>0.5</v>
      </c>
      <c r="F15" s="4">
        <v>0</v>
      </c>
      <c r="G15" s="4">
        <v>0</v>
      </c>
      <c r="H15" s="4">
        <v>0.5</v>
      </c>
      <c r="I15" s="4">
        <v>0</v>
      </c>
      <c r="J15" s="4">
        <v>0</v>
      </c>
      <c r="K15" s="4">
        <v>0.5</v>
      </c>
      <c r="L15" s="4">
        <v>0</v>
      </c>
      <c r="M15" s="4">
        <v>0</v>
      </c>
      <c r="N15" s="4">
        <v>0.5</v>
      </c>
      <c r="O15" s="19">
        <f t="shared" si="0"/>
        <v>2</v>
      </c>
      <c r="P15" s="20">
        <f t="shared" si="1"/>
        <v>0.16666666666666666</v>
      </c>
    </row>
    <row r="16" spans="1:16" ht="16.05" customHeight="1" x14ac:dyDescent="0.3">
      <c r="A16" s="7" t="s">
        <v>33</v>
      </c>
      <c r="B16" s="18" t="s">
        <v>26</v>
      </c>
      <c r="C16" s="4">
        <v>0</v>
      </c>
      <c r="D16" s="4">
        <v>0</v>
      </c>
      <c r="E16" s="4">
        <v>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</v>
      </c>
      <c r="L16" s="4">
        <v>0</v>
      </c>
      <c r="M16" s="4">
        <v>0</v>
      </c>
      <c r="N16" s="4">
        <v>0</v>
      </c>
      <c r="O16" s="19">
        <f t="shared" si="0"/>
        <v>2</v>
      </c>
      <c r="P16" s="20">
        <f t="shared" si="1"/>
        <v>0.16666666666666666</v>
      </c>
    </row>
    <row r="17" spans="1:16" ht="16.05" customHeight="1" x14ac:dyDescent="0.3">
      <c r="A17" s="7" t="s">
        <v>33</v>
      </c>
      <c r="B17" s="18" t="s">
        <v>28</v>
      </c>
      <c r="C17" s="4">
        <v>0</v>
      </c>
      <c r="D17" s="4">
        <v>0</v>
      </c>
      <c r="E17" s="4">
        <v>0.5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0.5</v>
      </c>
      <c r="L17" s="4">
        <v>0</v>
      </c>
      <c r="M17" s="4">
        <v>0</v>
      </c>
      <c r="N17" s="4">
        <v>0</v>
      </c>
      <c r="O17" s="19">
        <f t="shared" si="0"/>
        <v>1</v>
      </c>
      <c r="P17" s="20">
        <f t="shared" si="1"/>
        <v>8.3333333333333329E-2</v>
      </c>
    </row>
    <row r="18" spans="1:16" ht="16.05" customHeight="1" x14ac:dyDescent="0.3">
      <c r="A18" s="7" t="s">
        <v>33</v>
      </c>
      <c r="B18" s="18" t="s">
        <v>29</v>
      </c>
      <c r="C18" s="4">
        <v>0</v>
      </c>
      <c r="D18" s="4">
        <v>0</v>
      </c>
      <c r="E18" s="4">
        <v>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</v>
      </c>
      <c r="L18" s="4">
        <v>0</v>
      </c>
      <c r="M18" s="4">
        <v>0</v>
      </c>
      <c r="N18" s="4">
        <v>0</v>
      </c>
      <c r="O18" s="19">
        <f t="shared" si="0"/>
        <v>2</v>
      </c>
      <c r="P18" s="20">
        <f t="shared" si="1"/>
        <v>0.16666666666666666</v>
      </c>
    </row>
    <row r="19" spans="1:16" ht="16.05" customHeight="1" x14ac:dyDescent="0.3">
      <c r="A19" s="7" t="s">
        <v>33</v>
      </c>
      <c r="B19" s="18" t="s">
        <v>30</v>
      </c>
      <c r="C19" s="4">
        <v>0</v>
      </c>
      <c r="D19" s="4">
        <v>0</v>
      </c>
      <c r="E19" s="4">
        <v>0</v>
      </c>
      <c r="F19" s="4">
        <v>1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19">
        <f t="shared" si="0"/>
        <v>1</v>
      </c>
      <c r="P19" s="20">
        <f t="shared" si="1"/>
        <v>8.3333333333333329E-2</v>
      </c>
    </row>
    <row r="20" spans="1:16" ht="16.05" customHeight="1" x14ac:dyDescent="0.3">
      <c r="A20" s="7" t="s">
        <v>33</v>
      </c>
      <c r="B20" s="18" t="s">
        <v>32</v>
      </c>
      <c r="C20" s="4">
        <v>0</v>
      </c>
      <c r="D20" s="4">
        <v>0</v>
      </c>
      <c r="E20" s="4">
        <v>0</v>
      </c>
      <c r="F20" s="4">
        <v>1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19">
        <f t="shared" si="0"/>
        <v>1</v>
      </c>
      <c r="P20" s="20">
        <f t="shared" si="1"/>
        <v>8.3333333333333329E-2</v>
      </c>
    </row>
    <row r="21" spans="1:16" ht="16.05" customHeight="1" x14ac:dyDescent="0.3">
      <c r="A21" s="8" t="s">
        <v>34</v>
      </c>
      <c r="B21" s="18" t="s">
        <v>20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19">
        <f t="shared" si="0"/>
        <v>12</v>
      </c>
      <c r="P21" s="20">
        <f t="shared" si="1"/>
        <v>1</v>
      </c>
    </row>
    <row r="22" spans="1:16" ht="16.05" customHeight="1" x14ac:dyDescent="0.3">
      <c r="A22" s="8" t="s">
        <v>34</v>
      </c>
      <c r="B22" s="18" t="s">
        <v>23</v>
      </c>
      <c r="C22" s="4">
        <v>0</v>
      </c>
      <c r="D22" s="4">
        <v>0</v>
      </c>
      <c r="E22" s="4">
        <v>1</v>
      </c>
      <c r="F22" s="4">
        <v>0</v>
      </c>
      <c r="G22" s="4">
        <v>0</v>
      </c>
      <c r="H22" s="4">
        <v>1</v>
      </c>
      <c r="I22" s="4">
        <v>0</v>
      </c>
      <c r="J22" s="4">
        <v>0</v>
      </c>
      <c r="K22" s="4">
        <v>1</v>
      </c>
      <c r="L22" s="4">
        <v>0</v>
      </c>
      <c r="M22" s="4">
        <v>0</v>
      </c>
      <c r="N22" s="4">
        <v>1</v>
      </c>
      <c r="O22" s="19">
        <f t="shared" si="0"/>
        <v>4</v>
      </c>
      <c r="P22" s="20">
        <f t="shared" si="1"/>
        <v>0.33333333333333331</v>
      </c>
    </row>
    <row r="23" spans="1:16" ht="16.05" customHeight="1" x14ac:dyDescent="0.3">
      <c r="A23" s="8" t="s">
        <v>34</v>
      </c>
      <c r="B23" s="18" t="s">
        <v>25</v>
      </c>
      <c r="C23" s="4">
        <v>0</v>
      </c>
      <c r="D23" s="4">
        <v>0</v>
      </c>
      <c r="E23" s="4">
        <v>1</v>
      </c>
      <c r="F23" s="4">
        <v>0</v>
      </c>
      <c r="G23" s="4">
        <v>0</v>
      </c>
      <c r="H23" s="4">
        <v>1</v>
      </c>
      <c r="I23" s="4">
        <v>0</v>
      </c>
      <c r="J23" s="4">
        <v>0</v>
      </c>
      <c r="K23" s="4">
        <v>1</v>
      </c>
      <c r="L23" s="4">
        <v>0</v>
      </c>
      <c r="M23" s="4">
        <v>0</v>
      </c>
      <c r="N23" s="4">
        <v>1</v>
      </c>
      <c r="O23" s="19">
        <f t="shared" si="0"/>
        <v>4</v>
      </c>
      <c r="P23" s="20">
        <f t="shared" si="1"/>
        <v>0.33333333333333331</v>
      </c>
    </row>
    <row r="24" spans="1:16" ht="16.05" customHeight="1" x14ac:dyDescent="0.3">
      <c r="A24" s="8" t="s">
        <v>34</v>
      </c>
      <c r="B24" s="18" t="s">
        <v>26</v>
      </c>
      <c r="C24" s="4">
        <v>0</v>
      </c>
      <c r="D24" s="4">
        <v>0</v>
      </c>
      <c r="E24" s="4">
        <v>1.5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1.5</v>
      </c>
      <c r="L24" s="4">
        <v>0</v>
      </c>
      <c r="M24" s="4">
        <v>0</v>
      </c>
      <c r="N24" s="4">
        <v>0</v>
      </c>
      <c r="O24" s="19">
        <f t="shared" si="0"/>
        <v>3</v>
      </c>
      <c r="P24" s="20">
        <f t="shared" si="1"/>
        <v>0.25</v>
      </c>
    </row>
    <row r="25" spans="1:16" ht="16.05" customHeight="1" x14ac:dyDescent="0.3">
      <c r="A25" s="8" t="s">
        <v>34</v>
      </c>
      <c r="B25" s="18" t="s">
        <v>28</v>
      </c>
      <c r="C25" s="4">
        <v>0</v>
      </c>
      <c r="D25" s="4">
        <v>0</v>
      </c>
      <c r="E25" s="4">
        <v>1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</v>
      </c>
      <c r="L25" s="4">
        <v>0</v>
      </c>
      <c r="M25" s="4">
        <v>0</v>
      </c>
      <c r="N25" s="4">
        <v>0</v>
      </c>
      <c r="O25" s="19">
        <f t="shared" si="0"/>
        <v>2</v>
      </c>
      <c r="P25" s="20">
        <f t="shared" si="1"/>
        <v>0.16666666666666666</v>
      </c>
    </row>
    <row r="26" spans="1:16" ht="16.05" customHeight="1" x14ac:dyDescent="0.3">
      <c r="A26" s="8" t="s">
        <v>34</v>
      </c>
      <c r="B26" s="18" t="s">
        <v>29</v>
      </c>
      <c r="C26" s="4">
        <v>0</v>
      </c>
      <c r="D26" s="4">
        <v>0</v>
      </c>
      <c r="E26" s="4">
        <v>1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</v>
      </c>
      <c r="L26" s="4">
        <v>0</v>
      </c>
      <c r="M26" s="4">
        <v>0</v>
      </c>
      <c r="N26" s="4">
        <v>0</v>
      </c>
      <c r="O26" s="19">
        <f t="shared" si="0"/>
        <v>2</v>
      </c>
      <c r="P26" s="20">
        <f t="shared" si="1"/>
        <v>0.16666666666666666</v>
      </c>
    </row>
    <row r="27" spans="1:16" ht="16.05" customHeight="1" x14ac:dyDescent="0.3">
      <c r="A27" s="8" t="s">
        <v>34</v>
      </c>
      <c r="B27" s="18" t="s">
        <v>30</v>
      </c>
      <c r="C27" s="4">
        <v>0</v>
      </c>
      <c r="D27" s="4">
        <v>0</v>
      </c>
      <c r="E27" s="4">
        <v>0</v>
      </c>
      <c r="F27" s="4">
        <v>2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19">
        <f t="shared" si="0"/>
        <v>2</v>
      </c>
      <c r="P27" s="20">
        <f t="shared" si="1"/>
        <v>0.16666666666666666</v>
      </c>
    </row>
    <row r="28" spans="1:16" ht="16.05" customHeight="1" x14ac:dyDescent="0.3">
      <c r="A28" s="8" t="s">
        <v>34</v>
      </c>
      <c r="B28" s="18" t="s">
        <v>32</v>
      </c>
      <c r="C28" s="4">
        <v>0</v>
      </c>
      <c r="D28" s="4">
        <v>0</v>
      </c>
      <c r="E28" s="4">
        <v>0</v>
      </c>
      <c r="F28" s="4">
        <v>1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19">
        <f t="shared" si="0"/>
        <v>1</v>
      </c>
      <c r="P28" s="20">
        <f t="shared" si="1"/>
        <v>8.3333333333333329E-2</v>
      </c>
    </row>
    <row r="29" spans="1:16" ht="16.05" customHeight="1" x14ac:dyDescent="0.3">
      <c r="A29" s="9" t="s">
        <v>35</v>
      </c>
      <c r="B29" s="18" t="s">
        <v>20</v>
      </c>
      <c r="C29" s="4">
        <v>0.5</v>
      </c>
      <c r="D29" s="4">
        <v>0.5</v>
      </c>
      <c r="E29" s="4">
        <v>0.5</v>
      </c>
      <c r="F29" s="4">
        <v>0.5</v>
      </c>
      <c r="G29" s="4">
        <v>0.5</v>
      </c>
      <c r="H29" s="4">
        <v>0.5</v>
      </c>
      <c r="I29" s="4">
        <v>0.5</v>
      </c>
      <c r="J29" s="4">
        <v>0.5</v>
      </c>
      <c r="K29" s="4">
        <v>0.5</v>
      </c>
      <c r="L29" s="4">
        <v>0.5</v>
      </c>
      <c r="M29" s="4">
        <v>0.5</v>
      </c>
      <c r="N29" s="4">
        <v>0.5</v>
      </c>
      <c r="O29" s="19">
        <f t="shared" si="0"/>
        <v>6</v>
      </c>
      <c r="P29" s="20">
        <f t="shared" si="1"/>
        <v>0.5</v>
      </c>
    </row>
    <row r="30" spans="1:16" ht="16.05" customHeight="1" x14ac:dyDescent="0.3">
      <c r="A30" s="9" t="s">
        <v>35</v>
      </c>
      <c r="B30" s="18" t="s">
        <v>23</v>
      </c>
      <c r="C30" s="4">
        <v>0</v>
      </c>
      <c r="D30" s="4">
        <v>0</v>
      </c>
      <c r="E30" s="4">
        <v>1</v>
      </c>
      <c r="F30" s="4">
        <v>0</v>
      </c>
      <c r="G30" s="4">
        <v>0</v>
      </c>
      <c r="H30" s="4">
        <v>1</v>
      </c>
      <c r="I30" s="4">
        <v>0</v>
      </c>
      <c r="J30" s="4">
        <v>0</v>
      </c>
      <c r="K30" s="4">
        <v>1</v>
      </c>
      <c r="L30" s="4">
        <v>0</v>
      </c>
      <c r="M30" s="4">
        <v>0</v>
      </c>
      <c r="N30" s="4">
        <v>1</v>
      </c>
      <c r="O30" s="19">
        <f t="shared" si="0"/>
        <v>4</v>
      </c>
      <c r="P30" s="20">
        <f t="shared" si="1"/>
        <v>0.33333333333333331</v>
      </c>
    </row>
    <row r="31" spans="1:16" ht="16.05" customHeight="1" x14ac:dyDescent="0.3">
      <c r="A31" s="9" t="s">
        <v>35</v>
      </c>
      <c r="B31" s="18" t="s">
        <v>25</v>
      </c>
      <c r="C31" s="4">
        <v>0</v>
      </c>
      <c r="D31" s="4">
        <v>0</v>
      </c>
      <c r="E31" s="4">
        <v>0.5</v>
      </c>
      <c r="F31" s="4">
        <v>0</v>
      </c>
      <c r="G31" s="4">
        <v>0</v>
      </c>
      <c r="H31" s="4">
        <v>0.5</v>
      </c>
      <c r="I31" s="4">
        <v>0</v>
      </c>
      <c r="J31" s="4">
        <v>0</v>
      </c>
      <c r="K31" s="4">
        <v>0.5</v>
      </c>
      <c r="L31" s="4">
        <v>0</v>
      </c>
      <c r="M31" s="4">
        <v>0</v>
      </c>
      <c r="N31" s="4">
        <v>0.5</v>
      </c>
      <c r="O31" s="19">
        <f t="shared" si="0"/>
        <v>2</v>
      </c>
      <c r="P31" s="20">
        <f t="shared" si="1"/>
        <v>0.16666666666666666</v>
      </c>
    </row>
    <row r="32" spans="1:16" ht="16.05" customHeight="1" x14ac:dyDescent="0.3">
      <c r="A32" s="9" t="s">
        <v>35</v>
      </c>
      <c r="B32" s="18" t="s">
        <v>26</v>
      </c>
      <c r="C32" s="4">
        <v>0</v>
      </c>
      <c r="D32" s="4">
        <v>0</v>
      </c>
      <c r="E32" s="4">
        <v>1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1</v>
      </c>
      <c r="L32" s="4">
        <v>0</v>
      </c>
      <c r="M32" s="4">
        <v>0</v>
      </c>
      <c r="N32" s="4">
        <v>0</v>
      </c>
      <c r="O32" s="19">
        <f t="shared" si="0"/>
        <v>2</v>
      </c>
      <c r="P32" s="20">
        <f t="shared" si="1"/>
        <v>0.16666666666666666</v>
      </c>
    </row>
    <row r="33" spans="1:16" ht="16.05" customHeight="1" x14ac:dyDescent="0.3">
      <c r="A33" s="9" t="s">
        <v>35</v>
      </c>
      <c r="B33" s="18" t="s">
        <v>28</v>
      </c>
      <c r="C33" s="4">
        <v>0</v>
      </c>
      <c r="D33" s="4">
        <v>0</v>
      </c>
      <c r="E33" s="4">
        <v>0.5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0.5</v>
      </c>
      <c r="L33" s="4">
        <v>0</v>
      </c>
      <c r="M33" s="4">
        <v>0</v>
      </c>
      <c r="N33" s="4">
        <v>0</v>
      </c>
      <c r="O33" s="19">
        <f t="shared" si="0"/>
        <v>1</v>
      </c>
      <c r="P33" s="20">
        <f t="shared" si="1"/>
        <v>8.3333333333333329E-2</v>
      </c>
    </row>
    <row r="34" spans="1:16" ht="16.05" customHeight="1" x14ac:dyDescent="0.3">
      <c r="A34" s="9" t="s">
        <v>35</v>
      </c>
      <c r="B34" s="18" t="s">
        <v>29</v>
      </c>
      <c r="C34" s="4">
        <v>0</v>
      </c>
      <c r="D34" s="4">
        <v>0</v>
      </c>
      <c r="E34" s="4">
        <v>1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1</v>
      </c>
      <c r="L34" s="4">
        <v>0</v>
      </c>
      <c r="M34" s="4">
        <v>0</v>
      </c>
      <c r="N34" s="4">
        <v>0</v>
      </c>
      <c r="O34" s="19">
        <f t="shared" si="0"/>
        <v>2</v>
      </c>
      <c r="P34" s="20">
        <f t="shared" si="1"/>
        <v>0.16666666666666666</v>
      </c>
    </row>
    <row r="35" spans="1:16" ht="16.05" customHeight="1" x14ac:dyDescent="0.3">
      <c r="A35" s="9" t="s">
        <v>35</v>
      </c>
      <c r="B35" s="18" t="s">
        <v>30</v>
      </c>
      <c r="C35" s="4">
        <v>0</v>
      </c>
      <c r="D35" s="4">
        <v>0</v>
      </c>
      <c r="E35" s="4">
        <v>0</v>
      </c>
      <c r="F35" s="4">
        <v>1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19">
        <f t="shared" si="0"/>
        <v>1</v>
      </c>
      <c r="P35" s="20">
        <f t="shared" si="1"/>
        <v>8.3333333333333329E-2</v>
      </c>
    </row>
    <row r="36" spans="1:16" ht="16.05" customHeight="1" x14ac:dyDescent="0.3">
      <c r="A36" s="9" t="s">
        <v>35</v>
      </c>
      <c r="B36" s="18" t="s">
        <v>32</v>
      </c>
      <c r="C36" s="4">
        <v>0</v>
      </c>
      <c r="D36" s="4">
        <v>0</v>
      </c>
      <c r="E36" s="4">
        <v>0</v>
      </c>
      <c r="F36" s="4">
        <v>1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19">
        <f t="shared" si="0"/>
        <v>1</v>
      </c>
      <c r="P36" s="20">
        <f t="shared" si="1"/>
        <v>8.3333333333333329E-2</v>
      </c>
    </row>
    <row r="37" spans="1:16" ht="16.05" customHeight="1" x14ac:dyDescent="0.3">
      <c r="A37" s="10" t="s">
        <v>36</v>
      </c>
      <c r="B37" s="18" t="s">
        <v>20</v>
      </c>
      <c r="C37" s="4">
        <v>1</v>
      </c>
      <c r="D37" s="4">
        <v>1</v>
      </c>
      <c r="E37" s="4">
        <v>1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19">
        <f t="shared" ref="O37:O68" si="2">SUM(C37:N37)</f>
        <v>12</v>
      </c>
      <c r="P37" s="20">
        <f t="shared" ref="P37:P68" si="3">O37/12</f>
        <v>1</v>
      </c>
    </row>
    <row r="38" spans="1:16" ht="16.05" customHeight="1" x14ac:dyDescent="0.3">
      <c r="A38" s="10" t="s">
        <v>36</v>
      </c>
      <c r="B38" s="18" t="s">
        <v>23</v>
      </c>
      <c r="C38" s="4">
        <v>0</v>
      </c>
      <c r="D38" s="4">
        <v>0</v>
      </c>
      <c r="E38" s="4">
        <v>1</v>
      </c>
      <c r="F38" s="4">
        <v>0</v>
      </c>
      <c r="G38" s="4">
        <v>0</v>
      </c>
      <c r="H38" s="4">
        <v>1</v>
      </c>
      <c r="I38" s="4">
        <v>0</v>
      </c>
      <c r="J38" s="4">
        <v>0</v>
      </c>
      <c r="K38" s="4">
        <v>1</v>
      </c>
      <c r="L38" s="4">
        <v>0</v>
      </c>
      <c r="M38" s="4">
        <v>0</v>
      </c>
      <c r="N38" s="4">
        <v>1</v>
      </c>
      <c r="O38" s="19">
        <f t="shared" si="2"/>
        <v>4</v>
      </c>
      <c r="P38" s="20">
        <f t="shared" si="3"/>
        <v>0.33333333333333331</v>
      </c>
    </row>
    <row r="39" spans="1:16" ht="16.05" customHeight="1" x14ac:dyDescent="0.3">
      <c r="A39" s="10" t="s">
        <v>36</v>
      </c>
      <c r="B39" s="18" t="s">
        <v>25</v>
      </c>
      <c r="C39" s="4">
        <v>0</v>
      </c>
      <c r="D39" s="4">
        <v>0</v>
      </c>
      <c r="E39" s="4">
        <v>1</v>
      </c>
      <c r="F39" s="4">
        <v>0</v>
      </c>
      <c r="G39" s="4">
        <v>0</v>
      </c>
      <c r="H39" s="4">
        <v>1</v>
      </c>
      <c r="I39" s="4">
        <v>0</v>
      </c>
      <c r="J39" s="4">
        <v>0</v>
      </c>
      <c r="K39" s="4">
        <v>1</v>
      </c>
      <c r="L39" s="4">
        <v>0</v>
      </c>
      <c r="M39" s="4">
        <v>0</v>
      </c>
      <c r="N39" s="4">
        <v>1</v>
      </c>
      <c r="O39" s="19">
        <f t="shared" si="2"/>
        <v>4</v>
      </c>
      <c r="P39" s="20">
        <f t="shared" si="3"/>
        <v>0.33333333333333331</v>
      </c>
    </row>
    <row r="40" spans="1:16" ht="16.05" customHeight="1" x14ac:dyDescent="0.3">
      <c r="A40" s="10" t="s">
        <v>36</v>
      </c>
      <c r="B40" s="18" t="s">
        <v>26</v>
      </c>
      <c r="C40" s="4">
        <v>0</v>
      </c>
      <c r="D40" s="4">
        <v>0</v>
      </c>
      <c r="E40" s="4">
        <v>1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1</v>
      </c>
      <c r="L40" s="4">
        <v>0</v>
      </c>
      <c r="M40" s="4">
        <v>0</v>
      </c>
      <c r="N40" s="4">
        <v>0</v>
      </c>
      <c r="O40" s="19">
        <f t="shared" si="2"/>
        <v>2</v>
      </c>
      <c r="P40" s="20">
        <f t="shared" si="3"/>
        <v>0.16666666666666666</v>
      </c>
    </row>
    <row r="41" spans="1:16" ht="16.05" customHeight="1" x14ac:dyDescent="0.3">
      <c r="A41" s="10" t="s">
        <v>36</v>
      </c>
      <c r="B41" s="18" t="s">
        <v>28</v>
      </c>
      <c r="C41" s="4">
        <v>0</v>
      </c>
      <c r="D41" s="4">
        <v>0</v>
      </c>
      <c r="E41" s="4">
        <v>1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1</v>
      </c>
      <c r="L41" s="4">
        <v>0</v>
      </c>
      <c r="M41" s="4">
        <v>0</v>
      </c>
      <c r="N41" s="4">
        <v>0</v>
      </c>
      <c r="O41" s="19">
        <f t="shared" si="2"/>
        <v>2</v>
      </c>
      <c r="P41" s="20">
        <f t="shared" si="3"/>
        <v>0.16666666666666666</v>
      </c>
    </row>
    <row r="42" spans="1:16" ht="16.05" customHeight="1" x14ac:dyDescent="0.3">
      <c r="A42" s="10" t="s">
        <v>36</v>
      </c>
      <c r="B42" s="18" t="s">
        <v>29</v>
      </c>
      <c r="C42" s="4">
        <v>0</v>
      </c>
      <c r="D42" s="4">
        <v>0</v>
      </c>
      <c r="E42" s="4">
        <v>2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2</v>
      </c>
      <c r="L42" s="4">
        <v>0</v>
      </c>
      <c r="M42" s="4">
        <v>0</v>
      </c>
      <c r="N42" s="4">
        <v>0</v>
      </c>
      <c r="O42" s="19">
        <f t="shared" si="2"/>
        <v>4</v>
      </c>
      <c r="P42" s="20">
        <f t="shared" si="3"/>
        <v>0.33333333333333331</v>
      </c>
    </row>
    <row r="43" spans="1:16" ht="16.05" customHeight="1" x14ac:dyDescent="0.3">
      <c r="A43" s="10" t="s">
        <v>36</v>
      </c>
      <c r="B43" s="18" t="s">
        <v>30</v>
      </c>
      <c r="C43" s="4">
        <v>0</v>
      </c>
      <c r="D43" s="4">
        <v>0</v>
      </c>
      <c r="E43" s="4">
        <v>0</v>
      </c>
      <c r="F43" s="4">
        <v>2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19">
        <f t="shared" si="2"/>
        <v>2</v>
      </c>
      <c r="P43" s="20">
        <f t="shared" si="3"/>
        <v>0.16666666666666666</v>
      </c>
    </row>
    <row r="44" spans="1:16" ht="16.05" customHeight="1" x14ac:dyDescent="0.3">
      <c r="A44" s="10" t="s">
        <v>36</v>
      </c>
      <c r="B44" s="18" t="s">
        <v>32</v>
      </c>
      <c r="C44" s="4">
        <v>0</v>
      </c>
      <c r="D44" s="4">
        <v>0</v>
      </c>
      <c r="E44" s="4">
        <v>0</v>
      </c>
      <c r="F44" s="4">
        <v>1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19">
        <f t="shared" si="2"/>
        <v>1</v>
      </c>
      <c r="P44" s="20">
        <f t="shared" si="3"/>
        <v>8.3333333333333329E-2</v>
      </c>
    </row>
    <row r="45" spans="1:16" ht="16.05" customHeight="1" x14ac:dyDescent="0.3">
      <c r="A45" s="11" t="s">
        <v>37</v>
      </c>
      <c r="B45" s="18" t="s">
        <v>20</v>
      </c>
      <c r="C45" s="4">
        <v>0.5</v>
      </c>
      <c r="D45" s="4">
        <v>0.5</v>
      </c>
      <c r="E45" s="4">
        <v>0.5</v>
      </c>
      <c r="F45" s="4">
        <v>0.5</v>
      </c>
      <c r="G45" s="4">
        <v>0.5</v>
      </c>
      <c r="H45" s="4">
        <v>0.5</v>
      </c>
      <c r="I45" s="4">
        <v>0.5</v>
      </c>
      <c r="J45" s="4">
        <v>0.5</v>
      </c>
      <c r="K45" s="4">
        <v>0.5</v>
      </c>
      <c r="L45" s="4">
        <v>0.5</v>
      </c>
      <c r="M45" s="4">
        <v>0.5</v>
      </c>
      <c r="N45" s="4">
        <v>0.5</v>
      </c>
      <c r="O45" s="19">
        <f t="shared" si="2"/>
        <v>6</v>
      </c>
      <c r="P45" s="20">
        <f t="shared" si="3"/>
        <v>0.5</v>
      </c>
    </row>
    <row r="46" spans="1:16" ht="16.05" customHeight="1" x14ac:dyDescent="0.3">
      <c r="A46" s="11" t="s">
        <v>37</v>
      </c>
      <c r="B46" s="18" t="s">
        <v>23</v>
      </c>
      <c r="C46" s="4">
        <v>0</v>
      </c>
      <c r="D46" s="4">
        <v>0</v>
      </c>
      <c r="E46" s="4">
        <v>1</v>
      </c>
      <c r="F46" s="4">
        <v>0</v>
      </c>
      <c r="G46" s="4">
        <v>0</v>
      </c>
      <c r="H46" s="4">
        <v>1</v>
      </c>
      <c r="I46" s="4">
        <v>0</v>
      </c>
      <c r="J46" s="4">
        <v>0</v>
      </c>
      <c r="K46" s="4">
        <v>1</v>
      </c>
      <c r="L46" s="4">
        <v>0</v>
      </c>
      <c r="M46" s="4">
        <v>0</v>
      </c>
      <c r="N46" s="4">
        <v>1</v>
      </c>
      <c r="O46" s="19">
        <f t="shared" si="2"/>
        <v>4</v>
      </c>
      <c r="P46" s="20">
        <f t="shared" si="3"/>
        <v>0.33333333333333331</v>
      </c>
    </row>
    <row r="47" spans="1:16" ht="16.05" customHeight="1" x14ac:dyDescent="0.3">
      <c r="A47" s="11" t="s">
        <v>37</v>
      </c>
      <c r="B47" s="18" t="s">
        <v>25</v>
      </c>
      <c r="C47" s="4">
        <v>0</v>
      </c>
      <c r="D47" s="4">
        <v>0</v>
      </c>
      <c r="E47" s="4">
        <v>0.5</v>
      </c>
      <c r="F47" s="4">
        <v>0</v>
      </c>
      <c r="G47" s="4">
        <v>0</v>
      </c>
      <c r="H47" s="4">
        <v>0.5</v>
      </c>
      <c r="I47" s="4">
        <v>0</v>
      </c>
      <c r="J47" s="4">
        <v>0</v>
      </c>
      <c r="K47" s="4">
        <v>0.5</v>
      </c>
      <c r="L47" s="4">
        <v>0</v>
      </c>
      <c r="M47" s="4">
        <v>0</v>
      </c>
      <c r="N47" s="4">
        <v>0.5</v>
      </c>
      <c r="O47" s="19">
        <f t="shared" si="2"/>
        <v>2</v>
      </c>
      <c r="P47" s="20">
        <f t="shared" si="3"/>
        <v>0.16666666666666666</v>
      </c>
    </row>
    <row r="48" spans="1:16" ht="16.05" customHeight="1" x14ac:dyDescent="0.3">
      <c r="A48" s="11" t="s">
        <v>37</v>
      </c>
      <c r="B48" s="18" t="s">
        <v>26</v>
      </c>
      <c r="C48" s="4">
        <v>0</v>
      </c>
      <c r="D48" s="4">
        <v>0</v>
      </c>
      <c r="E48" s="4">
        <v>1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</v>
      </c>
      <c r="L48" s="4">
        <v>0</v>
      </c>
      <c r="M48" s="4">
        <v>0</v>
      </c>
      <c r="N48" s="4">
        <v>0</v>
      </c>
      <c r="O48" s="19">
        <f t="shared" si="2"/>
        <v>2</v>
      </c>
      <c r="P48" s="20">
        <f t="shared" si="3"/>
        <v>0.16666666666666666</v>
      </c>
    </row>
    <row r="49" spans="1:16" ht="16.05" customHeight="1" x14ac:dyDescent="0.3">
      <c r="A49" s="11" t="s">
        <v>37</v>
      </c>
      <c r="B49" s="18" t="s">
        <v>28</v>
      </c>
      <c r="C49" s="4">
        <v>0</v>
      </c>
      <c r="D49" s="4">
        <v>0</v>
      </c>
      <c r="E49" s="4">
        <v>0.5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0.5</v>
      </c>
      <c r="L49" s="4">
        <v>0</v>
      </c>
      <c r="M49" s="4">
        <v>0</v>
      </c>
      <c r="N49" s="4">
        <v>0</v>
      </c>
      <c r="O49" s="19">
        <f t="shared" si="2"/>
        <v>1</v>
      </c>
      <c r="P49" s="20">
        <f t="shared" si="3"/>
        <v>8.3333333333333329E-2</v>
      </c>
    </row>
    <row r="50" spans="1:16" ht="16.05" customHeight="1" x14ac:dyDescent="0.3">
      <c r="A50" s="11" t="s">
        <v>37</v>
      </c>
      <c r="B50" s="18" t="s">
        <v>29</v>
      </c>
      <c r="C50" s="4">
        <v>0</v>
      </c>
      <c r="D50" s="4">
        <v>0</v>
      </c>
      <c r="E50" s="4">
        <v>1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1</v>
      </c>
      <c r="L50" s="4">
        <v>0</v>
      </c>
      <c r="M50" s="4">
        <v>0</v>
      </c>
      <c r="N50" s="4">
        <v>0</v>
      </c>
      <c r="O50" s="19">
        <f t="shared" si="2"/>
        <v>2</v>
      </c>
      <c r="P50" s="20">
        <f t="shared" si="3"/>
        <v>0.16666666666666666</v>
      </c>
    </row>
    <row r="51" spans="1:16" ht="16.05" customHeight="1" x14ac:dyDescent="0.3">
      <c r="A51" s="11" t="s">
        <v>37</v>
      </c>
      <c r="B51" s="18" t="s">
        <v>30</v>
      </c>
      <c r="C51" s="4">
        <v>0</v>
      </c>
      <c r="D51" s="4">
        <v>0</v>
      </c>
      <c r="E51" s="4">
        <v>0</v>
      </c>
      <c r="F51" s="4">
        <v>1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19">
        <f t="shared" si="2"/>
        <v>1</v>
      </c>
      <c r="P51" s="20">
        <f t="shared" si="3"/>
        <v>8.3333333333333329E-2</v>
      </c>
    </row>
    <row r="52" spans="1:16" ht="16.05" customHeight="1" x14ac:dyDescent="0.3">
      <c r="A52" s="11" t="s">
        <v>37</v>
      </c>
      <c r="B52" s="18" t="s">
        <v>32</v>
      </c>
      <c r="C52" s="4">
        <v>0</v>
      </c>
      <c r="D52" s="4">
        <v>0</v>
      </c>
      <c r="E52" s="4">
        <v>0</v>
      </c>
      <c r="F52" s="4">
        <v>1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19">
        <f t="shared" si="2"/>
        <v>1</v>
      </c>
      <c r="P52" s="20">
        <f t="shared" si="3"/>
        <v>8.3333333333333329E-2</v>
      </c>
    </row>
    <row r="53" spans="1:16" ht="16.05" customHeight="1" x14ac:dyDescent="0.3">
      <c r="A53" s="12" t="s">
        <v>38</v>
      </c>
      <c r="B53" s="18" t="s">
        <v>20</v>
      </c>
      <c r="C53" s="4">
        <v>1</v>
      </c>
      <c r="D53" s="4">
        <v>1</v>
      </c>
      <c r="E53" s="4">
        <v>1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19">
        <f t="shared" si="2"/>
        <v>12</v>
      </c>
      <c r="P53" s="20">
        <f t="shared" si="3"/>
        <v>1</v>
      </c>
    </row>
    <row r="54" spans="1:16" ht="16.05" customHeight="1" x14ac:dyDescent="0.3">
      <c r="A54" s="12" t="s">
        <v>38</v>
      </c>
      <c r="B54" s="18" t="s">
        <v>23</v>
      </c>
      <c r="C54" s="4">
        <v>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0</v>
      </c>
      <c r="J54" s="4">
        <v>0</v>
      </c>
      <c r="K54" s="4">
        <v>1</v>
      </c>
      <c r="L54" s="4">
        <v>0</v>
      </c>
      <c r="M54" s="4">
        <v>0</v>
      </c>
      <c r="N54" s="4">
        <v>1</v>
      </c>
      <c r="O54" s="19">
        <f t="shared" si="2"/>
        <v>4</v>
      </c>
      <c r="P54" s="20">
        <f t="shared" si="3"/>
        <v>0.33333333333333331</v>
      </c>
    </row>
    <row r="55" spans="1:16" ht="16.05" customHeight="1" x14ac:dyDescent="0.3">
      <c r="A55" s="12" t="s">
        <v>38</v>
      </c>
      <c r="B55" s="18" t="s">
        <v>25</v>
      </c>
      <c r="C55" s="4">
        <v>0</v>
      </c>
      <c r="D55" s="4">
        <v>0</v>
      </c>
      <c r="E55" s="4">
        <v>1</v>
      </c>
      <c r="F55" s="4">
        <v>0</v>
      </c>
      <c r="G55" s="4">
        <v>0</v>
      </c>
      <c r="H55" s="4">
        <v>1</v>
      </c>
      <c r="I55" s="4">
        <v>0</v>
      </c>
      <c r="J55" s="4">
        <v>0</v>
      </c>
      <c r="K55" s="4">
        <v>1</v>
      </c>
      <c r="L55" s="4">
        <v>0</v>
      </c>
      <c r="M55" s="4">
        <v>0</v>
      </c>
      <c r="N55" s="4">
        <v>1</v>
      </c>
      <c r="O55" s="19">
        <f t="shared" si="2"/>
        <v>4</v>
      </c>
      <c r="P55" s="20">
        <f t="shared" si="3"/>
        <v>0.33333333333333331</v>
      </c>
    </row>
    <row r="56" spans="1:16" ht="16.05" customHeight="1" x14ac:dyDescent="0.3">
      <c r="A56" s="12" t="s">
        <v>38</v>
      </c>
      <c r="B56" s="18" t="s">
        <v>26</v>
      </c>
      <c r="C56" s="4">
        <v>0</v>
      </c>
      <c r="D56" s="4">
        <v>0</v>
      </c>
      <c r="E56" s="4">
        <v>1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1</v>
      </c>
      <c r="L56" s="4">
        <v>0</v>
      </c>
      <c r="M56" s="4">
        <v>0</v>
      </c>
      <c r="N56" s="4">
        <v>0</v>
      </c>
      <c r="O56" s="19">
        <f t="shared" si="2"/>
        <v>2</v>
      </c>
      <c r="P56" s="20">
        <f t="shared" si="3"/>
        <v>0.16666666666666666</v>
      </c>
    </row>
    <row r="57" spans="1:16" ht="16.05" customHeight="1" x14ac:dyDescent="0.3">
      <c r="A57" s="12" t="s">
        <v>38</v>
      </c>
      <c r="B57" s="18" t="s">
        <v>28</v>
      </c>
      <c r="C57" s="4">
        <v>0</v>
      </c>
      <c r="D57" s="4">
        <v>0</v>
      </c>
      <c r="E57" s="4">
        <v>1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1</v>
      </c>
      <c r="L57" s="4">
        <v>0</v>
      </c>
      <c r="M57" s="4">
        <v>0</v>
      </c>
      <c r="N57" s="4">
        <v>0</v>
      </c>
      <c r="O57" s="19">
        <f t="shared" si="2"/>
        <v>2</v>
      </c>
      <c r="P57" s="20">
        <f t="shared" si="3"/>
        <v>0.16666666666666666</v>
      </c>
    </row>
    <row r="58" spans="1:16" ht="16.05" customHeight="1" x14ac:dyDescent="0.3">
      <c r="A58" s="12" t="s">
        <v>38</v>
      </c>
      <c r="B58" s="18" t="s">
        <v>29</v>
      </c>
      <c r="C58" s="4">
        <v>0</v>
      </c>
      <c r="D58" s="4">
        <v>0</v>
      </c>
      <c r="E58" s="4">
        <v>1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1</v>
      </c>
      <c r="L58" s="4">
        <v>0</v>
      </c>
      <c r="M58" s="4">
        <v>0</v>
      </c>
      <c r="N58" s="4">
        <v>0</v>
      </c>
      <c r="O58" s="19">
        <f t="shared" si="2"/>
        <v>2</v>
      </c>
      <c r="P58" s="20">
        <f t="shared" si="3"/>
        <v>0.16666666666666666</v>
      </c>
    </row>
    <row r="59" spans="1:16" ht="16.05" customHeight="1" x14ac:dyDescent="0.3">
      <c r="A59" s="12" t="s">
        <v>38</v>
      </c>
      <c r="B59" s="18" t="s">
        <v>30</v>
      </c>
      <c r="C59" s="4">
        <v>0</v>
      </c>
      <c r="D59" s="4">
        <v>0</v>
      </c>
      <c r="E59" s="4">
        <v>0</v>
      </c>
      <c r="F59" s="4">
        <v>2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19">
        <f t="shared" si="2"/>
        <v>2</v>
      </c>
      <c r="P59" s="20">
        <f t="shared" si="3"/>
        <v>0.16666666666666666</v>
      </c>
    </row>
    <row r="60" spans="1:16" ht="16.05" customHeight="1" x14ac:dyDescent="0.3">
      <c r="A60" s="12" t="s">
        <v>38</v>
      </c>
      <c r="B60" s="18" t="s">
        <v>32</v>
      </c>
      <c r="C60" s="4">
        <v>0</v>
      </c>
      <c r="D60" s="4">
        <v>0</v>
      </c>
      <c r="E60" s="4">
        <v>0</v>
      </c>
      <c r="F60" s="4">
        <v>1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19">
        <f t="shared" si="2"/>
        <v>1</v>
      </c>
      <c r="P60" s="20">
        <f t="shared" si="3"/>
        <v>8.3333333333333329E-2</v>
      </c>
    </row>
    <row r="61" spans="1:16" ht="16.05" customHeight="1" x14ac:dyDescent="0.3">
      <c r="A61" s="13" t="s">
        <v>39</v>
      </c>
      <c r="B61" s="18" t="s">
        <v>20</v>
      </c>
      <c r="C61" s="4">
        <v>0.5</v>
      </c>
      <c r="D61" s="4">
        <v>0.5</v>
      </c>
      <c r="E61" s="4">
        <v>0.5</v>
      </c>
      <c r="F61" s="4">
        <v>0.5</v>
      </c>
      <c r="G61" s="4">
        <v>0.5</v>
      </c>
      <c r="H61" s="4">
        <v>0.5</v>
      </c>
      <c r="I61" s="4">
        <v>0.5</v>
      </c>
      <c r="J61" s="4">
        <v>0.5</v>
      </c>
      <c r="K61" s="4">
        <v>0.5</v>
      </c>
      <c r="L61" s="4">
        <v>0.5</v>
      </c>
      <c r="M61" s="4">
        <v>0.5</v>
      </c>
      <c r="N61" s="4">
        <v>0.5</v>
      </c>
      <c r="O61" s="19">
        <f t="shared" si="2"/>
        <v>6</v>
      </c>
      <c r="P61" s="20">
        <f t="shared" si="3"/>
        <v>0.5</v>
      </c>
    </row>
    <row r="62" spans="1:16" ht="16.05" customHeight="1" x14ac:dyDescent="0.3">
      <c r="A62" s="13" t="s">
        <v>39</v>
      </c>
      <c r="B62" s="18" t="s">
        <v>23</v>
      </c>
      <c r="C62" s="4">
        <v>0</v>
      </c>
      <c r="D62" s="4">
        <v>0</v>
      </c>
      <c r="E62" s="4">
        <v>1</v>
      </c>
      <c r="F62" s="4">
        <v>0</v>
      </c>
      <c r="G62" s="4">
        <v>0</v>
      </c>
      <c r="H62" s="4">
        <v>1</v>
      </c>
      <c r="I62" s="4">
        <v>0</v>
      </c>
      <c r="J62" s="4">
        <v>0</v>
      </c>
      <c r="K62" s="4">
        <v>1</v>
      </c>
      <c r="L62" s="4">
        <v>0</v>
      </c>
      <c r="M62" s="4">
        <v>0</v>
      </c>
      <c r="N62" s="4">
        <v>1</v>
      </c>
      <c r="O62" s="19">
        <f t="shared" si="2"/>
        <v>4</v>
      </c>
      <c r="P62" s="20">
        <f t="shared" si="3"/>
        <v>0.33333333333333331</v>
      </c>
    </row>
    <row r="63" spans="1:16" ht="16.05" customHeight="1" x14ac:dyDescent="0.3">
      <c r="A63" s="13" t="s">
        <v>39</v>
      </c>
      <c r="B63" s="18" t="s">
        <v>25</v>
      </c>
      <c r="C63" s="4">
        <v>0</v>
      </c>
      <c r="D63" s="4">
        <v>0</v>
      </c>
      <c r="E63" s="4">
        <v>0.5</v>
      </c>
      <c r="F63" s="4">
        <v>0</v>
      </c>
      <c r="G63" s="4">
        <v>0</v>
      </c>
      <c r="H63" s="4">
        <v>0.5</v>
      </c>
      <c r="I63" s="4">
        <v>0</v>
      </c>
      <c r="J63" s="4">
        <v>0</v>
      </c>
      <c r="K63" s="4">
        <v>0.5</v>
      </c>
      <c r="L63" s="4">
        <v>0</v>
      </c>
      <c r="M63" s="4">
        <v>0</v>
      </c>
      <c r="N63" s="4">
        <v>0.5</v>
      </c>
      <c r="O63" s="19">
        <f t="shared" si="2"/>
        <v>2</v>
      </c>
      <c r="P63" s="20">
        <f t="shared" si="3"/>
        <v>0.16666666666666666</v>
      </c>
    </row>
    <row r="64" spans="1:16" ht="16.05" customHeight="1" x14ac:dyDescent="0.3">
      <c r="A64" s="13" t="s">
        <v>39</v>
      </c>
      <c r="B64" s="18" t="s">
        <v>26</v>
      </c>
      <c r="C64" s="4">
        <v>0</v>
      </c>
      <c r="D64" s="4">
        <v>0</v>
      </c>
      <c r="E64" s="4">
        <v>1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1</v>
      </c>
      <c r="L64" s="4">
        <v>0</v>
      </c>
      <c r="M64" s="4">
        <v>0</v>
      </c>
      <c r="N64" s="4">
        <v>0</v>
      </c>
      <c r="O64" s="19">
        <f t="shared" si="2"/>
        <v>2</v>
      </c>
      <c r="P64" s="20">
        <f t="shared" si="3"/>
        <v>0.16666666666666666</v>
      </c>
    </row>
    <row r="65" spans="1:16" ht="16.05" customHeight="1" x14ac:dyDescent="0.3">
      <c r="A65" s="13" t="s">
        <v>39</v>
      </c>
      <c r="B65" s="18" t="s">
        <v>28</v>
      </c>
      <c r="C65" s="4">
        <v>0</v>
      </c>
      <c r="D65" s="4">
        <v>0</v>
      </c>
      <c r="E65" s="4">
        <v>0.5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0.5</v>
      </c>
      <c r="L65" s="4">
        <v>0</v>
      </c>
      <c r="M65" s="4">
        <v>0</v>
      </c>
      <c r="N65" s="4">
        <v>0</v>
      </c>
      <c r="O65" s="19">
        <f t="shared" si="2"/>
        <v>1</v>
      </c>
      <c r="P65" s="20">
        <f t="shared" si="3"/>
        <v>8.3333333333333329E-2</v>
      </c>
    </row>
    <row r="66" spans="1:16" ht="16.05" customHeight="1" x14ac:dyDescent="0.3">
      <c r="A66" s="13" t="s">
        <v>39</v>
      </c>
      <c r="B66" s="18" t="s">
        <v>30</v>
      </c>
      <c r="C66" s="4">
        <v>0</v>
      </c>
      <c r="D66" s="4">
        <v>0</v>
      </c>
      <c r="E66" s="4">
        <v>0</v>
      </c>
      <c r="F66" s="4">
        <v>1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19">
        <f t="shared" si="2"/>
        <v>1</v>
      </c>
      <c r="P66" s="20">
        <f t="shared" si="3"/>
        <v>8.3333333333333329E-2</v>
      </c>
    </row>
    <row r="67" spans="1:16" ht="16.05" customHeight="1" x14ac:dyDescent="0.3">
      <c r="A67" s="13" t="s">
        <v>39</v>
      </c>
      <c r="B67" s="18" t="s">
        <v>32</v>
      </c>
      <c r="C67" s="4">
        <v>0</v>
      </c>
      <c r="D67" s="4">
        <v>0</v>
      </c>
      <c r="E67" s="4">
        <v>0</v>
      </c>
      <c r="F67" s="4">
        <v>1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19">
        <f t="shared" si="2"/>
        <v>1</v>
      </c>
      <c r="P67" s="20">
        <f t="shared" si="3"/>
        <v>8.3333333333333329E-2</v>
      </c>
    </row>
    <row r="68" spans="1:16" ht="16.05" customHeight="1" x14ac:dyDescent="0.3">
      <c r="A68" s="14" t="s">
        <v>40</v>
      </c>
      <c r="B68" s="18" t="s">
        <v>20</v>
      </c>
      <c r="C68" s="4">
        <v>0.5</v>
      </c>
      <c r="D68" s="4">
        <v>0.5</v>
      </c>
      <c r="E68" s="4">
        <v>0.5</v>
      </c>
      <c r="F68" s="4">
        <v>0.5</v>
      </c>
      <c r="G68" s="4">
        <v>0.5</v>
      </c>
      <c r="H68" s="4">
        <v>0.5</v>
      </c>
      <c r="I68" s="4">
        <v>0.5</v>
      </c>
      <c r="J68" s="4">
        <v>0.5</v>
      </c>
      <c r="K68" s="4">
        <v>0.5</v>
      </c>
      <c r="L68" s="4">
        <v>0.5</v>
      </c>
      <c r="M68" s="4">
        <v>0.5</v>
      </c>
      <c r="N68" s="4">
        <v>0.5</v>
      </c>
      <c r="O68" s="19">
        <f t="shared" si="2"/>
        <v>6</v>
      </c>
      <c r="P68" s="20">
        <f t="shared" si="3"/>
        <v>0.5</v>
      </c>
    </row>
    <row r="69" spans="1:16" ht="16.05" customHeight="1" x14ac:dyDescent="0.3">
      <c r="A69" s="14" t="s">
        <v>40</v>
      </c>
      <c r="B69" s="18" t="s">
        <v>23</v>
      </c>
      <c r="C69" s="4">
        <v>0</v>
      </c>
      <c r="D69" s="4">
        <v>0</v>
      </c>
      <c r="E69" s="4">
        <v>1</v>
      </c>
      <c r="F69" s="4">
        <v>0</v>
      </c>
      <c r="G69" s="4">
        <v>0</v>
      </c>
      <c r="H69" s="4">
        <v>1</v>
      </c>
      <c r="I69" s="4">
        <v>0</v>
      </c>
      <c r="J69" s="4">
        <v>0</v>
      </c>
      <c r="K69" s="4">
        <v>1</v>
      </c>
      <c r="L69" s="4">
        <v>0</v>
      </c>
      <c r="M69" s="4">
        <v>0</v>
      </c>
      <c r="N69" s="4">
        <v>1</v>
      </c>
      <c r="O69" s="19">
        <f t="shared" ref="O69:O97" si="4">SUM(C69:N69)</f>
        <v>4</v>
      </c>
      <c r="P69" s="20">
        <f t="shared" ref="P69:P98" si="5">O69/12</f>
        <v>0.33333333333333331</v>
      </c>
    </row>
    <row r="70" spans="1:16" ht="16.05" customHeight="1" x14ac:dyDescent="0.3">
      <c r="A70" s="14" t="s">
        <v>40</v>
      </c>
      <c r="B70" s="18" t="s">
        <v>25</v>
      </c>
      <c r="C70" s="4">
        <v>0</v>
      </c>
      <c r="D70" s="4">
        <v>0</v>
      </c>
      <c r="E70" s="4">
        <v>0.5</v>
      </c>
      <c r="F70" s="4">
        <v>0</v>
      </c>
      <c r="G70" s="4">
        <v>0</v>
      </c>
      <c r="H70" s="4">
        <v>0.5</v>
      </c>
      <c r="I70" s="4">
        <v>0</v>
      </c>
      <c r="J70" s="4">
        <v>0</v>
      </c>
      <c r="K70" s="4">
        <v>0.5</v>
      </c>
      <c r="L70" s="4">
        <v>0</v>
      </c>
      <c r="M70" s="4">
        <v>0</v>
      </c>
      <c r="N70" s="4">
        <v>0.5</v>
      </c>
      <c r="O70" s="19">
        <f t="shared" si="4"/>
        <v>2</v>
      </c>
      <c r="P70" s="20">
        <f t="shared" si="5"/>
        <v>0.16666666666666666</v>
      </c>
    </row>
    <row r="71" spans="1:16" ht="16.05" customHeight="1" x14ac:dyDescent="0.3">
      <c r="A71" s="14" t="s">
        <v>40</v>
      </c>
      <c r="B71" s="18" t="s">
        <v>26</v>
      </c>
      <c r="C71" s="4">
        <v>0</v>
      </c>
      <c r="D71" s="4">
        <v>0</v>
      </c>
      <c r="E71" s="4">
        <v>1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1</v>
      </c>
      <c r="L71" s="4">
        <v>0</v>
      </c>
      <c r="M71" s="4">
        <v>0</v>
      </c>
      <c r="N71" s="4">
        <v>0</v>
      </c>
      <c r="O71" s="19">
        <f t="shared" si="4"/>
        <v>2</v>
      </c>
      <c r="P71" s="20">
        <f t="shared" si="5"/>
        <v>0.16666666666666666</v>
      </c>
    </row>
    <row r="72" spans="1:16" ht="16.05" customHeight="1" x14ac:dyDescent="0.3">
      <c r="A72" s="14" t="s">
        <v>40</v>
      </c>
      <c r="B72" s="18" t="s">
        <v>28</v>
      </c>
      <c r="C72" s="4">
        <v>0</v>
      </c>
      <c r="D72" s="4">
        <v>0</v>
      </c>
      <c r="E72" s="4">
        <v>0.5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0.5</v>
      </c>
      <c r="L72" s="4">
        <v>0</v>
      </c>
      <c r="M72" s="4">
        <v>0</v>
      </c>
      <c r="N72" s="4">
        <v>0</v>
      </c>
      <c r="O72" s="19">
        <f t="shared" si="4"/>
        <v>1</v>
      </c>
      <c r="P72" s="20">
        <f t="shared" si="5"/>
        <v>8.3333333333333329E-2</v>
      </c>
    </row>
    <row r="73" spans="1:16" ht="16.05" customHeight="1" x14ac:dyDescent="0.3">
      <c r="A73" s="14" t="s">
        <v>40</v>
      </c>
      <c r="B73" s="18" t="s">
        <v>30</v>
      </c>
      <c r="C73" s="4">
        <v>0</v>
      </c>
      <c r="D73" s="4">
        <v>0</v>
      </c>
      <c r="E73" s="4">
        <v>0</v>
      </c>
      <c r="F73" s="4">
        <v>1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19">
        <f t="shared" si="4"/>
        <v>1</v>
      </c>
      <c r="P73" s="20">
        <f t="shared" si="5"/>
        <v>8.3333333333333329E-2</v>
      </c>
    </row>
    <row r="74" spans="1:16" ht="16.05" customHeight="1" x14ac:dyDescent="0.3">
      <c r="A74" s="14" t="s">
        <v>40</v>
      </c>
      <c r="B74" s="18" t="s">
        <v>32</v>
      </c>
      <c r="C74" s="4">
        <v>0</v>
      </c>
      <c r="D74" s="4">
        <v>0</v>
      </c>
      <c r="E74" s="4">
        <v>0</v>
      </c>
      <c r="F74" s="4">
        <v>1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19">
        <f t="shared" si="4"/>
        <v>1</v>
      </c>
      <c r="P74" s="20">
        <f t="shared" si="5"/>
        <v>8.3333333333333329E-2</v>
      </c>
    </row>
    <row r="75" spans="1:16" ht="16.05" customHeight="1" x14ac:dyDescent="0.3">
      <c r="A75" s="15" t="s">
        <v>41</v>
      </c>
      <c r="B75" s="18" t="s">
        <v>20</v>
      </c>
      <c r="C75" s="4">
        <v>1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19">
        <f t="shared" si="4"/>
        <v>12</v>
      </c>
      <c r="P75" s="20">
        <f t="shared" si="5"/>
        <v>1</v>
      </c>
    </row>
    <row r="76" spans="1:16" ht="16.05" customHeight="1" x14ac:dyDescent="0.3">
      <c r="A76" s="15" t="s">
        <v>41</v>
      </c>
      <c r="B76" s="18" t="s">
        <v>23</v>
      </c>
      <c r="C76" s="4">
        <v>0</v>
      </c>
      <c r="D76" s="4">
        <v>0</v>
      </c>
      <c r="E76" s="4">
        <v>1</v>
      </c>
      <c r="F76" s="4">
        <v>0</v>
      </c>
      <c r="G76" s="4">
        <v>0</v>
      </c>
      <c r="H76" s="4">
        <v>1</v>
      </c>
      <c r="I76" s="4">
        <v>0</v>
      </c>
      <c r="J76" s="4">
        <v>0</v>
      </c>
      <c r="K76" s="4">
        <v>1</v>
      </c>
      <c r="L76" s="4">
        <v>0</v>
      </c>
      <c r="M76" s="4">
        <v>0</v>
      </c>
      <c r="N76" s="4">
        <v>1</v>
      </c>
      <c r="O76" s="19">
        <f t="shared" si="4"/>
        <v>4</v>
      </c>
      <c r="P76" s="20">
        <f t="shared" si="5"/>
        <v>0.33333333333333331</v>
      </c>
    </row>
    <row r="77" spans="1:16" ht="16.05" customHeight="1" x14ac:dyDescent="0.3">
      <c r="A77" s="15" t="s">
        <v>41</v>
      </c>
      <c r="B77" s="18" t="s">
        <v>25</v>
      </c>
      <c r="C77" s="4">
        <v>0</v>
      </c>
      <c r="D77" s="4">
        <v>0</v>
      </c>
      <c r="E77" s="4">
        <v>1</v>
      </c>
      <c r="F77" s="4">
        <v>0</v>
      </c>
      <c r="G77" s="4">
        <v>0</v>
      </c>
      <c r="H77" s="4">
        <v>1</v>
      </c>
      <c r="I77" s="4">
        <v>0</v>
      </c>
      <c r="J77" s="4">
        <v>0</v>
      </c>
      <c r="K77" s="4">
        <v>1</v>
      </c>
      <c r="L77" s="4">
        <v>0</v>
      </c>
      <c r="M77" s="4">
        <v>0</v>
      </c>
      <c r="N77" s="4">
        <v>1</v>
      </c>
      <c r="O77" s="19">
        <f t="shared" si="4"/>
        <v>4</v>
      </c>
      <c r="P77" s="20">
        <f t="shared" si="5"/>
        <v>0.33333333333333331</v>
      </c>
    </row>
    <row r="78" spans="1:16" ht="16.05" customHeight="1" x14ac:dyDescent="0.3">
      <c r="A78" s="15" t="s">
        <v>41</v>
      </c>
      <c r="B78" s="18" t="s">
        <v>26</v>
      </c>
      <c r="C78" s="4">
        <v>0</v>
      </c>
      <c r="D78" s="4">
        <v>0</v>
      </c>
      <c r="E78" s="4">
        <v>1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1</v>
      </c>
      <c r="L78" s="4">
        <v>0</v>
      </c>
      <c r="M78" s="4">
        <v>0</v>
      </c>
      <c r="N78" s="4">
        <v>0</v>
      </c>
      <c r="O78" s="19">
        <f t="shared" si="4"/>
        <v>2</v>
      </c>
      <c r="P78" s="20">
        <f t="shared" si="5"/>
        <v>0.16666666666666666</v>
      </c>
    </row>
    <row r="79" spans="1:16" ht="16.05" customHeight="1" x14ac:dyDescent="0.3">
      <c r="A79" s="15" t="s">
        <v>41</v>
      </c>
      <c r="B79" s="18" t="s">
        <v>28</v>
      </c>
      <c r="C79" s="4">
        <v>0</v>
      </c>
      <c r="D79" s="4">
        <v>0</v>
      </c>
      <c r="E79" s="4">
        <v>1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1</v>
      </c>
      <c r="L79" s="4">
        <v>0</v>
      </c>
      <c r="M79" s="4">
        <v>0</v>
      </c>
      <c r="N79" s="4">
        <v>0</v>
      </c>
      <c r="O79" s="19">
        <f t="shared" si="4"/>
        <v>2</v>
      </c>
      <c r="P79" s="20">
        <f t="shared" si="5"/>
        <v>0.16666666666666666</v>
      </c>
    </row>
    <row r="80" spans="1:16" ht="16.05" customHeight="1" x14ac:dyDescent="0.3">
      <c r="A80" s="15" t="s">
        <v>41</v>
      </c>
      <c r="B80" s="18" t="s">
        <v>29</v>
      </c>
      <c r="C80" s="4">
        <v>0</v>
      </c>
      <c r="D80" s="4">
        <v>0</v>
      </c>
      <c r="E80" s="4">
        <v>1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1</v>
      </c>
      <c r="L80" s="4">
        <v>0</v>
      </c>
      <c r="M80" s="4">
        <v>0</v>
      </c>
      <c r="N80" s="4">
        <v>0</v>
      </c>
      <c r="O80" s="19">
        <f t="shared" si="4"/>
        <v>2</v>
      </c>
      <c r="P80" s="20">
        <f t="shared" si="5"/>
        <v>0.16666666666666666</v>
      </c>
    </row>
    <row r="81" spans="1:16" ht="16.05" customHeight="1" x14ac:dyDescent="0.3">
      <c r="A81" s="15" t="s">
        <v>41</v>
      </c>
      <c r="B81" s="18" t="s">
        <v>30</v>
      </c>
      <c r="C81" s="4">
        <v>0</v>
      </c>
      <c r="D81" s="4">
        <v>0</v>
      </c>
      <c r="E81" s="4">
        <v>0</v>
      </c>
      <c r="F81" s="4">
        <v>2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19">
        <f t="shared" si="4"/>
        <v>2</v>
      </c>
      <c r="P81" s="20">
        <f t="shared" si="5"/>
        <v>0.16666666666666666</v>
      </c>
    </row>
    <row r="82" spans="1:16" ht="16.05" customHeight="1" x14ac:dyDescent="0.3">
      <c r="A82" s="15" t="s">
        <v>41</v>
      </c>
      <c r="B82" s="18" t="s">
        <v>32</v>
      </c>
      <c r="C82" s="4">
        <v>0</v>
      </c>
      <c r="D82" s="4">
        <v>0</v>
      </c>
      <c r="E82" s="4">
        <v>0</v>
      </c>
      <c r="F82" s="4">
        <v>1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19">
        <f t="shared" si="4"/>
        <v>1</v>
      </c>
      <c r="P82" s="20">
        <f t="shared" si="5"/>
        <v>8.3333333333333329E-2</v>
      </c>
    </row>
    <row r="83" spans="1:16" ht="16.05" customHeight="1" x14ac:dyDescent="0.3">
      <c r="A83" s="16" t="s">
        <v>42</v>
      </c>
      <c r="B83" s="18" t="s">
        <v>20</v>
      </c>
      <c r="C83" s="4">
        <v>0.5</v>
      </c>
      <c r="D83" s="4">
        <v>0.5</v>
      </c>
      <c r="E83" s="4">
        <v>0.5</v>
      </c>
      <c r="F83" s="4">
        <v>0.5</v>
      </c>
      <c r="G83" s="4">
        <v>0.5</v>
      </c>
      <c r="H83" s="4">
        <v>0.5</v>
      </c>
      <c r="I83" s="4">
        <v>0.5</v>
      </c>
      <c r="J83" s="4">
        <v>0.5</v>
      </c>
      <c r="K83" s="4">
        <v>0.5</v>
      </c>
      <c r="L83" s="4">
        <v>0.5</v>
      </c>
      <c r="M83" s="4">
        <v>0.5</v>
      </c>
      <c r="N83" s="4">
        <v>0.5</v>
      </c>
      <c r="O83" s="19">
        <f t="shared" si="4"/>
        <v>6</v>
      </c>
      <c r="P83" s="20">
        <f t="shared" si="5"/>
        <v>0.5</v>
      </c>
    </row>
    <row r="84" spans="1:16" ht="16.05" customHeight="1" x14ac:dyDescent="0.3">
      <c r="A84" s="16" t="s">
        <v>42</v>
      </c>
      <c r="B84" s="18" t="s">
        <v>23</v>
      </c>
      <c r="C84" s="4">
        <v>0</v>
      </c>
      <c r="D84" s="4">
        <v>0</v>
      </c>
      <c r="E84" s="4">
        <v>1</v>
      </c>
      <c r="F84" s="4">
        <v>0</v>
      </c>
      <c r="G84" s="4">
        <v>0</v>
      </c>
      <c r="H84" s="4">
        <v>1</v>
      </c>
      <c r="I84" s="4">
        <v>0</v>
      </c>
      <c r="J84" s="4">
        <v>0</v>
      </c>
      <c r="K84" s="4">
        <v>1</v>
      </c>
      <c r="L84" s="4">
        <v>0</v>
      </c>
      <c r="M84" s="4">
        <v>0</v>
      </c>
      <c r="N84" s="4">
        <v>1</v>
      </c>
      <c r="O84" s="19">
        <f t="shared" si="4"/>
        <v>4</v>
      </c>
      <c r="P84" s="20">
        <f t="shared" si="5"/>
        <v>0.33333333333333331</v>
      </c>
    </row>
    <row r="85" spans="1:16" ht="16.05" customHeight="1" x14ac:dyDescent="0.3">
      <c r="A85" s="16" t="s">
        <v>42</v>
      </c>
      <c r="B85" s="18" t="s">
        <v>25</v>
      </c>
      <c r="C85" s="4">
        <v>0</v>
      </c>
      <c r="D85" s="4">
        <v>0</v>
      </c>
      <c r="E85" s="4">
        <v>0.5</v>
      </c>
      <c r="F85" s="4">
        <v>0</v>
      </c>
      <c r="G85" s="4">
        <v>0</v>
      </c>
      <c r="H85" s="4">
        <v>0.5</v>
      </c>
      <c r="I85" s="4">
        <v>0</v>
      </c>
      <c r="J85" s="4">
        <v>0</v>
      </c>
      <c r="K85" s="4">
        <v>0.5</v>
      </c>
      <c r="L85" s="4">
        <v>0</v>
      </c>
      <c r="M85" s="4">
        <v>0</v>
      </c>
      <c r="N85" s="4">
        <v>0.5</v>
      </c>
      <c r="O85" s="19">
        <f t="shared" si="4"/>
        <v>2</v>
      </c>
      <c r="P85" s="20">
        <f t="shared" si="5"/>
        <v>0.16666666666666666</v>
      </c>
    </row>
    <row r="86" spans="1:16" ht="16.05" customHeight="1" x14ac:dyDescent="0.3">
      <c r="A86" s="16" t="s">
        <v>42</v>
      </c>
      <c r="B86" s="18" t="s">
        <v>26</v>
      </c>
      <c r="C86" s="4">
        <v>0</v>
      </c>
      <c r="D86" s="4">
        <v>0</v>
      </c>
      <c r="E86" s="4">
        <v>1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1</v>
      </c>
      <c r="L86" s="4">
        <v>0</v>
      </c>
      <c r="M86" s="4">
        <v>0</v>
      </c>
      <c r="N86" s="4">
        <v>0</v>
      </c>
      <c r="O86" s="19">
        <f t="shared" si="4"/>
        <v>2</v>
      </c>
      <c r="P86" s="20">
        <f t="shared" si="5"/>
        <v>0.16666666666666666</v>
      </c>
    </row>
    <row r="87" spans="1:16" ht="16.05" customHeight="1" x14ac:dyDescent="0.3">
      <c r="A87" s="16" t="s">
        <v>42</v>
      </c>
      <c r="B87" s="18" t="s">
        <v>28</v>
      </c>
      <c r="C87" s="4">
        <v>0</v>
      </c>
      <c r="D87" s="4">
        <v>0</v>
      </c>
      <c r="E87" s="4">
        <v>0.5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0.5</v>
      </c>
      <c r="L87" s="4">
        <v>0</v>
      </c>
      <c r="M87" s="4">
        <v>0</v>
      </c>
      <c r="N87" s="4">
        <v>0</v>
      </c>
      <c r="O87" s="19">
        <f t="shared" si="4"/>
        <v>1</v>
      </c>
      <c r="P87" s="20">
        <f t="shared" si="5"/>
        <v>8.3333333333333329E-2</v>
      </c>
    </row>
    <row r="88" spans="1:16" ht="16.05" customHeight="1" x14ac:dyDescent="0.3">
      <c r="A88" s="16" t="s">
        <v>42</v>
      </c>
      <c r="B88" s="18" t="s">
        <v>30</v>
      </c>
      <c r="C88" s="4">
        <v>0</v>
      </c>
      <c r="D88" s="4">
        <v>0</v>
      </c>
      <c r="E88" s="4">
        <v>0</v>
      </c>
      <c r="F88" s="4">
        <v>1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19">
        <f t="shared" si="4"/>
        <v>1</v>
      </c>
      <c r="P88" s="20">
        <f t="shared" si="5"/>
        <v>8.3333333333333329E-2</v>
      </c>
    </row>
    <row r="89" spans="1:16" ht="16.05" customHeight="1" x14ac:dyDescent="0.3">
      <c r="A89" s="16" t="s">
        <v>42</v>
      </c>
      <c r="B89" s="18" t="s">
        <v>32</v>
      </c>
      <c r="C89" s="4">
        <v>0</v>
      </c>
      <c r="D89" s="4">
        <v>0</v>
      </c>
      <c r="E89" s="4">
        <v>0</v>
      </c>
      <c r="F89" s="4">
        <v>1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19">
        <f t="shared" si="4"/>
        <v>1</v>
      </c>
      <c r="P89" s="20">
        <f t="shared" si="5"/>
        <v>8.3333333333333329E-2</v>
      </c>
    </row>
    <row r="90" spans="1:16" ht="16.05" customHeight="1" x14ac:dyDescent="0.3">
      <c r="A90" s="17" t="s">
        <v>43</v>
      </c>
      <c r="B90" s="18" t="s">
        <v>20</v>
      </c>
      <c r="C90" s="4">
        <v>0.5</v>
      </c>
      <c r="D90" s="4">
        <v>0.5</v>
      </c>
      <c r="E90" s="4">
        <v>0.5</v>
      </c>
      <c r="F90" s="4">
        <v>0.5</v>
      </c>
      <c r="G90" s="4">
        <v>0.5</v>
      </c>
      <c r="H90" s="4">
        <v>0.5</v>
      </c>
      <c r="I90" s="4">
        <v>0.5</v>
      </c>
      <c r="J90" s="4">
        <v>0.5</v>
      </c>
      <c r="K90" s="4">
        <v>0.5</v>
      </c>
      <c r="L90" s="4">
        <v>0.5</v>
      </c>
      <c r="M90" s="4">
        <v>0.5</v>
      </c>
      <c r="N90" s="4">
        <v>0.5</v>
      </c>
      <c r="O90" s="19">
        <f t="shared" si="4"/>
        <v>6</v>
      </c>
      <c r="P90" s="20">
        <f t="shared" si="5"/>
        <v>0.5</v>
      </c>
    </row>
    <row r="91" spans="1:16" ht="16.05" customHeight="1" x14ac:dyDescent="0.3">
      <c r="A91" s="17" t="s">
        <v>43</v>
      </c>
      <c r="B91" s="18" t="s">
        <v>23</v>
      </c>
      <c r="C91" s="4">
        <v>0</v>
      </c>
      <c r="D91" s="4">
        <v>0</v>
      </c>
      <c r="E91" s="4">
        <v>1</v>
      </c>
      <c r="F91" s="4">
        <v>0</v>
      </c>
      <c r="G91" s="4">
        <v>0</v>
      </c>
      <c r="H91" s="4">
        <v>1</v>
      </c>
      <c r="I91" s="4">
        <v>0</v>
      </c>
      <c r="J91" s="4">
        <v>0</v>
      </c>
      <c r="K91" s="4">
        <v>1</v>
      </c>
      <c r="L91" s="4">
        <v>0</v>
      </c>
      <c r="M91" s="4">
        <v>0</v>
      </c>
      <c r="N91" s="4">
        <v>1</v>
      </c>
      <c r="O91" s="19">
        <f t="shared" si="4"/>
        <v>4</v>
      </c>
      <c r="P91" s="20">
        <f t="shared" si="5"/>
        <v>0.33333333333333331</v>
      </c>
    </row>
    <row r="92" spans="1:16" ht="16.05" customHeight="1" x14ac:dyDescent="0.3">
      <c r="A92" s="17" t="s">
        <v>43</v>
      </c>
      <c r="B92" s="18" t="s">
        <v>25</v>
      </c>
      <c r="C92" s="4">
        <v>0</v>
      </c>
      <c r="D92" s="4">
        <v>0</v>
      </c>
      <c r="E92" s="4">
        <v>0.5</v>
      </c>
      <c r="F92" s="4">
        <v>0</v>
      </c>
      <c r="G92" s="4">
        <v>0</v>
      </c>
      <c r="H92" s="4">
        <v>0.5</v>
      </c>
      <c r="I92" s="4">
        <v>0</v>
      </c>
      <c r="J92" s="4">
        <v>0</v>
      </c>
      <c r="K92" s="4">
        <v>0.5</v>
      </c>
      <c r="L92" s="4">
        <v>0</v>
      </c>
      <c r="M92" s="4">
        <v>0</v>
      </c>
      <c r="N92" s="4">
        <v>0.5</v>
      </c>
      <c r="O92" s="19">
        <f t="shared" si="4"/>
        <v>2</v>
      </c>
      <c r="P92" s="20">
        <f t="shared" si="5"/>
        <v>0.16666666666666666</v>
      </c>
    </row>
    <row r="93" spans="1:16" ht="16.05" customHeight="1" x14ac:dyDescent="0.3">
      <c r="A93" s="17" t="s">
        <v>43</v>
      </c>
      <c r="B93" s="18" t="s">
        <v>26</v>
      </c>
      <c r="C93" s="4">
        <v>0</v>
      </c>
      <c r="D93" s="4">
        <v>0</v>
      </c>
      <c r="E93" s="4">
        <v>1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1</v>
      </c>
      <c r="L93" s="4">
        <v>0</v>
      </c>
      <c r="M93" s="4">
        <v>0</v>
      </c>
      <c r="N93" s="4">
        <v>0</v>
      </c>
      <c r="O93" s="19">
        <f t="shared" si="4"/>
        <v>2</v>
      </c>
      <c r="P93" s="20">
        <f t="shared" si="5"/>
        <v>0.16666666666666666</v>
      </c>
    </row>
    <row r="94" spans="1:16" ht="16.05" customHeight="1" x14ac:dyDescent="0.3">
      <c r="A94" s="17" t="s">
        <v>43</v>
      </c>
      <c r="B94" s="18" t="s">
        <v>28</v>
      </c>
      <c r="C94" s="4">
        <v>0</v>
      </c>
      <c r="D94" s="4">
        <v>0</v>
      </c>
      <c r="E94" s="4">
        <v>0.5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0.5</v>
      </c>
      <c r="L94" s="4">
        <v>0</v>
      </c>
      <c r="M94" s="4">
        <v>0</v>
      </c>
      <c r="N94" s="4">
        <v>0</v>
      </c>
      <c r="O94" s="19">
        <f t="shared" si="4"/>
        <v>1</v>
      </c>
      <c r="P94" s="20">
        <f t="shared" si="5"/>
        <v>8.3333333333333329E-2</v>
      </c>
    </row>
    <row r="95" spans="1:16" ht="16.05" customHeight="1" x14ac:dyDescent="0.3">
      <c r="A95" s="17" t="s">
        <v>43</v>
      </c>
      <c r="B95" s="18" t="s">
        <v>29</v>
      </c>
      <c r="C95" s="4">
        <v>0</v>
      </c>
      <c r="D95" s="4">
        <v>0</v>
      </c>
      <c r="E95" s="4">
        <v>1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1</v>
      </c>
      <c r="L95" s="4">
        <v>0</v>
      </c>
      <c r="M95" s="4">
        <v>0</v>
      </c>
      <c r="N95" s="4">
        <v>0</v>
      </c>
      <c r="O95" s="19">
        <f t="shared" si="4"/>
        <v>2</v>
      </c>
      <c r="P95" s="20">
        <f t="shared" si="5"/>
        <v>0.16666666666666666</v>
      </c>
    </row>
    <row r="96" spans="1:16" ht="16.05" customHeight="1" x14ac:dyDescent="0.3">
      <c r="A96" s="17" t="s">
        <v>43</v>
      </c>
      <c r="B96" s="18" t="s">
        <v>30</v>
      </c>
      <c r="C96" s="4">
        <v>0</v>
      </c>
      <c r="D96" s="4">
        <v>0</v>
      </c>
      <c r="E96" s="4">
        <v>0</v>
      </c>
      <c r="F96" s="4">
        <v>1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19">
        <f t="shared" si="4"/>
        <v>1</v>
      </c>
      <c r="P96" s="20">
        <f t="shared" si="5"/>
        <v>8.3333333333333329E-2</v>
      </c>
    </row>
    <row r="97" spans="1:16" ht="16.05" customHeight="1" x14ac:dyDescent="0.3">
      <c r="A97" s="17" t="s">
        <v>43</v>
      </c>
      <c r="B97" s="18" t="s">
        <v>32</v>
      </c>
      <c r="C97" s="4">
        <v>0</v>
      </c>
      <c r="D97" s="4">
        <v>0</v>
      </c>
      <c r="E97" s="4">
        <v>0</v>
      </c>
      <c r="F97" s="4">
        <v>1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19">
        <f t="shared" si="4"/>
        <v>1</v>
      </c>
      <c r="P97" s="20">
        <f t="shared" si="5"/>
        <v>8.3333333333333329E-2</v>
      </c>
    </row>
    <row r="98" spans="1:16" ht="19.95" customHeight="1" x14ac:dyDescent="0.3">
      <c r="A98" s="31" t="s">
        <v>48</v>
      </c>
      <c r="B98" s="26"/>
      <c r="C98" s="1">
        <f t="shared" ref="C98:O98" si="6">SUM(C5:C97)</f>
        <v>8.5</v>
      </c>
      <c r="D98" s="1">
        <f t="shared" si="6"/>
        <v>8.5</v>
      </c>
      <c r="E98" s="1">
        <f t="shared" si="6"/>
        <v>60</v>
      </c>
      <c r="F98" s="1">
        <f t="shared" si="6"/>
        <v>37.5</v>
      </c>
      <c r="G98" s="1">
        <f t="shared" si="6"/>
        <v>8.5</v>
      </c>
      <c r="H98" s="1">
        <f t="shared" si="6"/>
        <v>29</v>
      </c>
      <c r="I98" s="1">
        <f t="shared" si="6"/>
        <v>8.5</v>
      </c>
      <c r="J98" s="1">
        <f t="shared" si="6"/>
        <v>8.5</v>
      </c>
      <c r="K98" s="1">
        <f t="shared" si="6"/>
        <v>60</v>
      </c>
      <c r="L98" s="1">
        <f t="shared" si="6"/>
        <v>8.5</v>
      </c>
      <c r="M98" s="1">
        <f t="shared" si="6"/>
        <v>8.5</v>
      </c>
      <c r="N98" s="1">
        <f t="shared" si="6"/>
        <v>29</v>
      </c>
      <c r="O98" s="1">
        <f t="shared" si="6"/>
        <v>275</v>
      </c>
      <c r="P98" s="21">
        <f t="shared" si="5"/>
        <v>22.916666666666668</v>
      </c>
    </row>
    <row r="100" spans="1:16" ht="28.05" customHeight="1" x14ac:dyDescent="0.3">
      <c r="A100" s="28" t="s">
        <v>49</v>
      </c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</row>
  </sheetData>
  <mergeCells count="4">
    <mergeCell ref="A98:B98"/>
    <mergeCell ref="A1:P1"/>
    <mergeCell ref="A100:P100"/>
    <mergeCell ref="A2:P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6c7bf8-4ce7-4db2-81a6-3f2fb3ee6412">
      <Terms xmlns="http://schemas.microsoft.com/office/infopath/2007/PartnerControls"/>
    </lcf76f155ced4ddcb4097134ff3c332f>
    <TaxCatchAll xmlns="cf1c41ac-5426-47ae-a216-78ef3a736f9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ED3DDA1174714AA8A0ADD53719743E" ma:contentTypeVersion="10" ma:contentTypeDescription="Crear nuevo documento." ma:contentTypeScope="" ma:versionID="ba225e06a36ee55f4dded745d06045e9">
  <xsd:schema xmlns:xsd="http://www.w3.org/2001/XMLSchema" xmlns:xs="http://www.w3.org/2001/XMLSchema" xmlns:p="http://schemas.microsoft.com/office/2006/metadata/properties" xmlns:ns2="7b6c7bf8-4ce7-4db2-81a6-3f2fb3ee6412" xmlns:ns3="cf1c41ac-5426-47ae-a216-78ef3a736f94" targetNamespace="http://schemas.microsoft.com/office/2006/metadata/properties" ma:root="true" ma:fieldsID="80cdbe2e6ba9db2b3b4464925d0e7b98" ns2:_="" ns3:_="">
    <xsd:import namespace="7b6c7bf8-4ce7-4db2-81a6-3f2fb3ee6412"/>
    <xsd:import namespace="cf1c41ac-5426-47ae-a216-78ef3a736f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c7bf8-4ce7-4db2-81a6-3f2fb3ee64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05bde99-f911-48db-a36f-21ff87b478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c41ac-5426-47ae-a216-78ef3a736f9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d6f33e-8020-4e03-9a6f-497468dfdacc}" ma:internalName="TaxCatchAll" ma:showField="CatchAllData" ma:web="cf1c41ac-5426-47ae-a216-78ef3a736f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138798-3173-4DF8-8947-CCF0656EC493}">
  <ds:schemaRefs>
    <ds:schemaRef ds:uri="http://schemas.microsoft.com/office/2006/metadata/properties"/>
    <ds:schemaRef ds:uri="http://schemas.microsoft.com/office/infopath/2007/PartnerControls"/>
    <ds:schemaRef ds:uri="7b6c7bf8-4ce7-4db2-81a6-3f2fb3ee6412"/>
    <ds:schemaRef ds:uri="cf1c41ac-5426-47ae-a216-78ef3a736f94"/>
  </ds:schemaRefs>
</ds:datastoreItem>
</file>

<file path=customXml/itemProps2.xml><?xml version="1.0" encoding="utf-8"?>
<ds:datastoreItem xmlns:ds="http://schemas.openxmlformats.org/officeDocument/2006/customXml" ds:itemID="{068062DC-4069-4F11-A547-8E8395542D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4C4EBA-7D9D-4238-AA71-F12A08E993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6c7bf8-4ce7-4db2-81a6-3f2fb3ee6412"/>
    <ds:schemaRef ds:uri="cf1c41ac-5426-47ae-a216-78ef3a736f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Calendario Anual</vt:lpstr>
      <vt:lpstr>HH Preventivo por 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Sebastien Martinet (IMA Argentina - Holdas Latam)</cp:lastModifiedBy>
  <cp:lastPrinted>2026-06-09T15:11:06Z</cp:lastPrinted>
  <dcterms:created xsi:type="dcterms:W3CDTF">2026-05-12T18:47:59Z</dcterms:created>
  <dcterms:modified xsi:type="dcterms:W3CDTF">2026-06-09T15:13:33Z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0x01010018ED3DDA1174714AA8A0ADD53719743E</vt:lpwstr>
  </property>
</Properties>
</file>