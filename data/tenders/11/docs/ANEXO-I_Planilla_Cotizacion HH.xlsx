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masi.sharepoint.com/sites/EstudioPropuestas2026/Documentos compartidos/1334-METROGAS-SERVICIO MANTENIMIENTO PREVENTIVO Y/00-ET/Inicial-1334/Doc5708245518/"/>
    </mc:Choice>
  </mc:AlternateContent>
  <xr:revisionPtr revIDLastSave="75" documentId="14_{5F38CFA6-C119-48CC-BC67-36714095799D}" xr6:coauthVersionLast="47" xr6:coauthVersionMax="47" xr10:uidLastSave="{671F71AF-C5C4-439D-A2E3-AAAF60D93875}"/>
  <bookViews>
    <workbookView xWindow="-108" yWindow="-108" windowWidth="23256" windowHeight="12456" xr2:uid="{00000000-000D-0000-FFFF-FFFF00000000}"/>
  </bookViews>
  <sheets>
    <sheet name="Cotización HH" sheetId="1" r:id="rId1"/>
    <sheet name="Nómina de Personal" sheetId="2" r:id="rId2"/>
  </sheets>
  <definedNames>
    <definedName name="_xlnm.Print_Titles" localSheetId="0">'Cotización HH'!$1:$4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1" l="1"/>
  <c r="K41" i="1"/>
  <c r="K46" i="1"/>
  <c r="K42" i="1"/>
  <c r="K43" i="1"/>
  <c r="K44" i="1"/>
  <c r="K38" i="1"/>
  <c r="K30" i="1"/>
  <c r="K21" i="1"/>
  <c r="K16" i="1"/>
  <c r="J7" i="1"/>
  <c r="K10" i="1"/>
  <c r="J36" i="1"/>
  <c r="J35" i="1"/>
  <c r="J29" i="1"/>
  <c r="J28" i="1"/>
  <c r="J27" i="1"/>
  <c r="J26" i="1"/>
  <c r="J20" i="1"/>
  <c r="J21" i="1" s="1"/>
  <c r="J43" i="1" s="1"/>
  <c r="I20" i="1"/>
  <c r="J15" i="1"/>
  <c r="I15" i="1"/>
  <c r="J14" i="1"/>
  <c r="J16" i="1" s="1"/>
  <c r="J42" i="1" s="1"/>
  <c r="I14" i="1"/>
  <c r="J9" i="1"/>
  <c r="I9" i="1"/>
  <c r="J8" i="1"/>
  <c r="I8" i="1"/>
  <c r="I7" i="1"/>
  <c r="J30" i="1" l="1"/>
  <c r="J44" i="1" s="1"/>
  <c r="J10" i="1"/>
  <c r="J41" i="1" s="1"/>
  <c r="J38" i="1"/>
  <c r="J45" i="1" s="1"/>
  <c r="J46" i="1" l="1"/>
</calcChain>
</file>

<file path=xl/sharedStrings.xml><?xml version="1.0" encoding="utf-8"?>
<sst xmlns="http://schemas.openxmlformats.org/spreadsheetml/2006/main" count="152" uniqueCount="78">
  <si>
    <t>MetroGAS S.A. — ANEXO I: PLANILLA DE COTIZACIÓN DE SERVICIOS</t>
  </si>
  <si>
    <t>1. MANO DE OBRA CIVIL  (incluye tareas simples de cerrajería)</t>
  </si>
  <si>
    <t>N°</t>
  </si>
  <si>
    <t>Categoría</t>
  </si>
  <si>
    <t>Descripción</t>
  </si>
  <si>
    <t>Precio HH
($ sin IVA)</t>
  </si>
  <si>
    <t>Dot.
mín.</t>
  </si>
  <si>
    <t>HH
Total
/mes</t>
  </si>
  <si>
    <t>Recargo
HH Extra</t>
  </si>
  <si>
    <t>HH Extra
est./mes</t>
  </si>
  <si>
    <t>Subtotal
HH Extras</t>
  </si>
  <si>
    <t>SUBTOTAL
MENSUAL</t>
  </si>
  <si>
    <t>Oficial Albañil</t>
  </si>
  <si>
    <t>Autonomía plena. Mín. 5 años exp. Incluye tareas simples de cerrajería (bisagras, manijas, herrajes).</t>
  </si>
  <si>
    <t>Medio Oficial</t>
  </si>
  <si>
    <t>Ejecuta bajo supervisión de Oficial. Tareas de albañilería, Durlock, pintura y terminaciones en general.</t>
  </si>
  <si>
    <t>Ayudante</t>
  </si>
  <si>
    <t>Apoyo y asistencia a Oficial y Medio Oficial. Sin autonomía. Máx. 25% del total de HH civiles.</t>
  </si>
  <si>
    <t>SUBTOTAL CIVIL</t>
  </si>
  <si>
    <t>2. MANO DE OBRA ELÉCTRICA</t>
  </si>
  <si>
    <t>Técnico Electricista Operativo</t>
  </si>
  <si>
    <t>Téc. Electricista/Electromecánico. Mín. 5 años exp. Baja tensión.</t>
  </si>
  <si>
    <t>Electricista Ayudante Técnico</t>
  </si>
  <si>
    <t>Apoyo en tareas eléctricas bajo supervisión de técnico.</t>
  </si>
  <si>
    <t>SUBTOTAL ELÉCTRICO</t>
  </si>
  <si>
    <t>3. HERRERÍA Y PORTONES</t>
  </si>
  <si>
    <t>Oficial Herrero</t>
  </si>
  <si>
    <t>Soldadura, portones automáticos y cortinas metálicas. Mín. 5 años exp.</t>
  </si>
  <si>
    <t>SUBTOTAL HERRERÍA</t>
  </si>
  <si>
    <t>4. ELECTRICISTA MATRICULADO — A DEMANDA (por visita/intervención)</t>
  </si>
  <si>
    <t>ℹ  Cotizar precio por visita/intervención. No incluye materiales. Celdas AMARILLAS son de ingreso obligatorio.</t>
  </si>
  <si>
    <t>Tipo de Intervención</t>
  </si>
  <si>
    <t>Detalle</t>
  </si>
  <si>
    <t>Precio por
Visita ($ sin IVA)</t>
  </si>
  <si>
    <t>Cant.
est./mes</t>
  </si>
  <si>
    <t>—</t>
  </si>
  <si>
    <t>Certificación eléctrica</t>
  </si>
  <si>
    <t>Inspección, informe y certificado de instalación.</t>
  </si>
  <si>
    <t>Presentación ante organismos</t>
  </si>
  <si>
    <t>Edenor, Edesur, municipios o entes reguladores.</t>
  </si>
  <si>
    <t>Habilitación eléctrica</t>
  </si>
  <si>
    <t>Gestión completa de habilitación edilicia.</t>
  </si>
  <si>
    <t>Cálculo eléctrico / Informe técnico</t>
  </si>
  <si>
    <t>Memoria de cálculo o informe técnico.</t>
  </si>
  <si>
    <t>SUBTOTAL ELECTRICISTA MATRICULADO</t>
  </si>
  <si>
    <t>5. GUARDIA EVENTUAL ELÉCTRICA — A DEMANDA (Visita base + HH adicional)</t>
  </si>
  <si>
    <t>ℹ  Servicio eventual fuera de horario hábil, a demanda de MetroGAS. Personal eléctrico de la dotación diaria. Tiempo de respuesta ≤ 2 hs desde el llamado. Se cotiza en DOS ítems: (a) precio fijo por visita —incluye traslado y hasta 2 hs de trabajo— y (b) precio por cada hora adicional a partir de la 3ra hora.</t>
  </si>
  <si>
    <t>Ítem</t>
  </si>
  <si>
    <t>Detalle / Alcance</t>
  </si>
  <si>
    <t>Precio
($ sin IVA)</t>
  </si>
  <si>
    <t>Visita base (traslado + hasta 2 hs de trabajo)</t>
  </si>
  <si>
    <t>Cubre el desplazamiento del técnico y hasta 2 horas de intervención. Aplica a: cortes de energía, fallas en tableros, luminarias críticas, portones y accesos. Respuesta garantizada ≤ 2 hs desde el llamado de MetroGAS.</t>
  </si>
  <si>
    <t>Hora adicional (a partir de la 3ra hora de intervención)</t>
  </si>
  <si>
    <t>Precio por cada hora de trabajo efectiva que supere las 2 horas incluidas en la visita base. La INSPECCIÓN deberá validar y registrar las horas adicionales en la orden de trabajo.</t>
  </si>
  <si>
    <t>ℹ  La cantidad estimada mensual es referencial para comparación de ofertas — no implica compromiso de consumo. MetroGAS abonará únicamente las visitas e HH adicionales efectivamente realizadas y validadas por la INSPECCIÓN.</t>
  </si>
  <si>
    <t>SUBTOTAL GUARDIA EVENTUAL</t>
  </si>
  <si>
    <t>RESUMEN TOTAL DE LA OFERTA</t>
  </si>
  <si>
    <t>Mano de Obra Civil (incl. cerrajería simple)</t>
  </si>
  <si>
    <t>Mano de Obra Eléctrica</t>
  </si>
  <si>
    <t>Herrería y Portones</t>
  </si>
  <si>
    <t>Electricista Matriculado</t>
  </si>
  <si>
    <t>Guardia Eventual Eléctrica</t>
  </si>
  <si>
    <t>MetroGAS S.A. — Nómina de Personal Afectado al Servicio</t>
  </si>
  <si>
    <t>Completar para TODOS los integrantes propuestos. Adjuntar documentación de calificación por cada persona.</t>
  </si>
  <si>
    <t>Apellido y Nombre</t>
  </si>
  <si>
    <t>Especialidad</t>
  </si>
  <si>
    <t>Antigüedad en el oficio</t>
  </si>
  <si>
    <t>Tipo de Acreditación</t>
  </si>
  <si>
    <t>DNI</t>
  </si>
  <si>
    <t>Observaciones</t>
  </si>
  <si>
    <t>Civil</t>
  </si>
  <si>
    <t>Eléctrico</t>
  </si>
  <si>
    <t>Ayudante Técnico</t>
  </si>
  <si>
    <t>Herrería</t>
  </si>
  <si>
    <t>Condición de pago: 60 días fecha presentación de facturas.</t>
  </si>
  <si>
    <r>
      <t>Contratación de Mano de Obra — Mantenimiento Preventivo y Correctivo  |  Valores en Pesos Argentinos sin IVA —</t>
    </r>
    <r>
      <rPr>
        <b/>
        <i/>
        <sz val="8"/>
        <color rgb="FFFF0000"/>
        <rFont val="Arial"/>
        <family val="2"/>
      </rPr>
      <t xml:space="preserve"> Abril 2026</t>
    </r>
  </si>
  <si>
    <t>SUBTOTAL
ANUAL</t>
  </si>
  <si>
    <t>TOTAL SIN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</si>
</sst>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.00;[Red]\(\$\ #,##0.00\)"/>
    <numFmt numFmtId="165" formatCode="0.0%"/>
  </numFmts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8"/>
      <color rgb="FF555555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i/>
      <sz val="8"/>
      <color rgb="FF7B4F00"/>
      <name val="Arial"/>
      <family val="2"/>
    </font>
    <font>
      <b/>
      <sz val="12"/>
      <color rgb="FFFFFFFF"/>
      <name val="Arial"/>
      <family val="2"/>
    </font>
    <font>
      <b/>
      <sz val="9"/>
      <name val="Arial"/>
      <family val="2"/>
    </font>
    <font>
      <b/>
      <sz val="11"/>
      <color rgb="FFFFFFFF"/>
      <name val="Arial"/>
      <family val="2"/>
    </font>
    <font>
      <b/>
      <sz val="9"/>
      <color rgb="FF2E75B6"/>
      <name val="Arial"/>
      <family val="2"/>
    </font>
    <font>
      <sz val="9"/>
      <color rgb="FF1A1A1A"/>
      <name val="Arial"/>
      <family val="2"/>
    </font>
    <font>
      <b/>
      <sz val="9"/>
      <color rgb="FF1A1A1A"/>
      <name val="Arial"/>
      <family val="2"/>
    </font>
    <font>
      <b/>
      <i/>
      <sz val="8"/>
      <color rgb="FFFF0000"/>
      <name val="Arial"/>
      <family val="2"/>
    </font>
    <font>
      <i/>
      <sz val="8"/>
      <color rgb="FF7B4F00"/>
      <name val="Arial"/>
      <family val="2"/>
    </font>
    <font>
      <b/>
      <sz val="10"/>
      <color rgb="FFFFFFFF"/>
      <name val="Arial"/>
      <family val="2"/>
    </font>
    <font>
      <b/>
      <sz val="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FFF9C4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1" fontId="5" fillId="6" borderId="1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5" fillId="3" borderId="1" xfId="0" applyFont="1" applyFill="1" applyBorder="1"/>
    <xf numFmtId="0" fontId="0" fillId="3" borderId="1" xfId="0" applyFill="1" applyBorder="1"/>
    <xf numFmtId="0" fontId="5" fillId="6" borderId="1" xfId="0" applyFont="1" applyFill="1" applyBorder="1"/>
    <xf numFmtId="0" fontId="0" fillId="6" borderId="1" xfId="0" applyFill="1" applyBorder="1"/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1" fontId="11" fillId="3" borderId="1" xfId="0" applyNumberFormat="1" applyFont="1" applyFill="1" applyBorder="1" applyAlignment="1">
      <alignment horizontal="center" vertical="center" wrapText="1"/>
    </xf>
    <xf numFmtId="165" fontId="11" fillId="5" borderId="1" xfId="0" applyNumberFormat="1" applyFont="1" applyFill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1" fontId="11" fillId="6" borderId="1" xfId="0" applyNumberFormat="1" applyFont="1" applyFill="1" applyBorder="1" applyAlignment="1">
      <alignment horizontal="center" vertical="center" wrapText="1"/>
    </xf>
    <xf numFmtId="164" fontId="11" fillId="6" borderId="1" xfId="0" applyNumberFormat="1" applyFont="1" applyFill="1" applyBorder="1" applyAlignment="1">
      <alignment horizontal="center" vertical="center" wrapText="1"/>
    </xf>
    <xf numFmtId="0" fontId="16" fillId="0" borderId="0" xfId="0" applyFont="1"/>
    <xf numFmtId="0" fontId="0" fillId="0" borderId="0" xfId="0"/>
    <xf numFmtId="0" fontId="8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2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8"/>
  <sheetViews>
    <sheetView showGridLines="0" tabSelected="1" workbookViewId="0">
      <pane ySplit="4" topLeftCell="A5" activePane="bottomLeft" state="frozen"/>
      <selection pane="bottomLeft" activeCell="D7" sqref="D7"/>
    </sheetView>
  </sheetViews>
  <sheetFormatPr baseColWidth="10" defaultColWidth="8.77734375" defaultRowHeight="15" customHeight="1" x14ac:dyDescent="0.3"/>
  <cols>
    <col min="1" max="1" width="4" customWidth="1"/>
    <col min="2" max="2" width="26" customWidth="1"/>
    <col min="3" max="3" width="51.33203125" customWidth="1"/>
    <col min="4" max="4" width="14" customWidth="1"/>
    <col min="5" max="5" width="9" customWidth="1"/>
    <col min="6" max="7" width="12" customWidth="1"/>
    <col min="8" max="8" width="10" customWidth="1"/>
    <col min="9" max="9" width="14" customWidth="1"/>
    <col min="10" max="10" width="16" customWidth="1"/>
    <col min="11" max="11" width="11.44140625" customWidth="1"/>
  </cols>
  <sheetData>
    <row r="1" spans="1:11" ht="28.2" customHeight="1" x14ac:dyDescent="0.3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13.2" customHeight="1" x14ac:dyDescent="0.3">
      <c r="A2" s="51" t="s">
        <v>75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ht="6" customHeight="1" x14ac:dyDescent="0.3">
      <c r="A3" s="40"/>
      <c r="B3" s="40"/>
      <c r="C3" s="40"/>
      <c r="D3" s="40"/>
      <c r="E3" s="40"/>
      <c r="F3" s="40"/>
      <c r="G3" s="40"/>
      <c r="H3" s="40"/>
      <c r="I3" s="40"/>
      <c r="J3" s="40"/>
    </row>
    <row r="4" spans="1:11" ht="6" customHeight="1" x14ac:dyDescent="0.3">
      <c r="A4" s="40"/>
      <c r="B4" s="40"/>
      <c r="C4" s="40"/>
      <c r="D4" s="40"/>
      <c r="E4" s="40"/>
      <c r="F4" s="40"/>
      <c r="G4" s="40"/>
      <c r="H4" s="40"/>
      <c r="I4" s="40"/>
      <c r="J4" s="40"/>
    </row>
    <row r="5" spans="1:11" ht="19.95" customHeight="1" x14ac:dyDescent="0.3">
      <c r="A5" s="49" t="s">
        <v>1</v>
      </c>
      <c r="B5" s="49"/>
      <c r="C5" s="49"/>
      <c r="D5" s="49"/>
      <c r="E5" s="49"/>
      <c r="F5" s="49"/>
      <c r="G5" s="49"/>
      <c r="H5" s="49"/>
      <c r="I5" s="49"/>
      <c r="J5" s="49"/>
      <c r="K5" s="49"/>
    </row>
    <row r="6" spans="1:11" ht="40.200000000000003" customHeight="1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76</v>
      </c>
    </row>
    <row r="7" spans="1:11" ht="25.95" customHeight="1" x14ac:dyDescent="0.3">
      <c r="A7" s="27">
        <v>1</v>
      </c>
      <c r="B7" s="28" t="s">
        <v>12</v>
      </c>
      <c r="C7" s="29" t="s">
        <v>13</v>
      </c>
      <c r="D7" s="30"/>
      <c r="E7" s="27">
        <v>2</v>
      </c>
      <c r="F7" s="31">
        <v>156</v>
      </c>
      <c r="G7" s="32"/>
      <c r="H7" s="31">
        <v>27</v>
      </c>
      <c r="I7" s="33" t="str">
        <f>IF(OR(D7="",G7=""),"",D7*(1+G7)*H7)</f>
        <v/>
      </c>
      <c r="J7" s="33" t="str">
        <f>IF(D7="","",D7*F7+IF(G7="",0,D7*(1+G7)*H7))</f>
        <v/>
      </c>
      <c r="K7" s="33"/>
    </row>
    <row r="8" spans="1:11" ht="25.95" customHeight="1" x14ac:dyDescent="0.3">
      <c r="A8" s="34">
        <v>2</v>
      </c>
      <c r="B8" s="35" t="s">
        <v>14</v>
      </c>
      <c r="C8" s="36" t="s">
        <v>15</v>
      </c>
      <c r="D8" s="30"/>
      <c r="E8" s="34">
        <v>2</v>
      </c>
      <c r="F8" s="37">
        <v>90</v>
      </c>
      <c r="G8" s="32"/>
      <c r="H8" s="37">
        <v>13</v>
      </c>
      <c r="I8" s="38" t="str">
        <f>IF(OR(D8="",G8=""),"",D8*(1+G8)*H8)</f>
        <v/>
      </c>
      <c r="J8" s="38" t="str">
        <f>IF(D8="","",D8*F8+IF(G8="",0,D8*(1+G8)*H8))</f>
        <v/>
      </c>
      <c r="K8" s="38"/>
    </row>
    <row r="9" spans="1:11" ht="25.95" customHeight="1" x14ac:dyDescent="0.3">
      <c r="A9" s="27">
        <v>3</v>
      </c>
      <c r="B9" s="28" t="s">
        <v>16</v>
      </c>
      <c r="C9" s="29" t="s">
        <v>17</v>
      </c>
      <c r="D9" s="30"/>
      <c r="E9" s="27">
        <v>1</v>
      </c>
      <c r="F9" s="31">
        <v>61</v>
      </c>
      <c r="G9" s="32"/>
      <c r="H9" s="31">
        <v>13</v>
      </c>
      <c r="I9" s="33" t="str">
        <f>IF(OR(D9="",G9=""),"",D9*(1+G9)*H9)</f>
        <v/>
      </c>
      <c r="J9" s="33" t="str">
        <f>IF(D9="","",D9*F9+IF(G9="",0,D9*(1+G9)*H9))</f>
        <v/>
      </c>
      <c r="K9" s="33"/>
    </row>
    <row r="10" spans="1:11" ht="22.2" customHeight="1" x14ac:dyDescent="0.3">
      <c r="A10" s="44" t="s">
        <v>18</v>
      </c>
      <c r="B10" s="42"/>
      <c r="C10" s="42"/>
      <c r="D10" s="42"/>
      <c r="E10" s="42"/>
      <c r="F10" s="42"/>
      <c r="G10" s="42"/>
      <c r="H10" s="42"/>
      <c r="I10" s="43"/>
      <c r="J10" s="12">
        <f>SUM(J7:J9)</f>
        <v>0</v>
      </c>
      <c r="K10" s="12">
        <f>SUM(K7:K9)</f>
        <v>0</v>
      </c>
    </row>
    <row r="11" spans="1:11" ht="6" customHeight="1" x14ac:dyDescent="0.3">
      <c r="A11" s="40"/>
      <c r="B11" s="40"/>
      <c r="C11" s="40"/>
      <c r="D11" s="40"/>
      <c r="E11" s="40"/>
      <c r="F11" s="40"/>
      <c r="G11" s="40"/>
      <c r="H11" s="40"/>
      <c r="I11" s="40"/>
      <c r="J11" s="40"/>
    </row>
    <row r="12" spans="1:11" ht="19.95" customHeight="1" x14ac:dyDescent="0.3">
      <c r="A12" s="45" t="s">
        <v>19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</row>
    <row r="13" spans="1:11" ht="40.200000000000003" customHeight="1" x14ac:dyDescent="0.3">
      <c r="A13" s="1" t="s">
        <v>2</v>
      </c>
      <c r="B13" s="1" t="s">
        <v>3</v>
      </c>
      <c r="C13" s="1" t="s">
        <v>4</v>
      </c>
      <c r="D13" s="1" t="s">
        <v>5</v>
      </c>
      <c r="E13" s="1" t="s">
        <v>6</v>
      </c>
      <c r="F13" s="1" t="s">
        <v>7</v>
      </c>
      <c r="G13" s="1" t="s">
        <v>8</v>
      </c>
      <c r="H13" s="1" t="s">
        <v>9</v>
      </c>
      <c r="I13" s="1" t="s">
        <v>10</v>
      </c>
      <c r="J13" s="1" t="s">
        <v>11</v>
      </c>
      <c r="K13" s="1" t="s">
        <v>76</v>
      </c>
    </row>
    <row r="14" spans="1:11" ht="25.95" customHeight="1" x14ac:dyDescent="0.3">
      <c r="A14" s="2">
        <v>1</v>
      </c>
      <c r="B14" s="3" t="s">
        <v>20</v>
      </c>
      <c r="C14" s="3" t="s">
        <v>21</v>
      </c>
      <c r="D14" s="4"/>
      <c r="E14" s="2">
        <v>2</v>
      </c>
      <c r="F14" s="5">
        <v>87</v>
      </c>
      <c r="G14" s="6"/>
      <c r="H14" s="5">
        <v>26</v>
      </c>
      <c r="I14" s="7" t="str">
        <f>IF(OR(D14="",G14=""),"",D14*(1+G14)*H14)</f>
        <v/>
      </c>
      <c r="J14" s="7" t="str">
        <f>IF(D14="","",D14*F14+IF(G14="",0,D14*(1+G14)*H14))</f>
        <v/>
      </c>
      <c r="K14" s="7"/>
    </row>
    <row r="15" spans="1:11" ht="25.95" customHeight="1" x14ac:dyDescent="0.3">
      <c r="A15" s="8">
        <v>2</v>
      </c>
      <c r="B15" s="9" t="s">
        <v>22</v>
      </c>
      <c r="C15" s="9" t="s">
        <v>23</v>
      </c>
      <c r="D15" s="4"/>
      <c r="E15" s="8">
        <v>1</v>
      </c>
      <c r="F15" s="10">
        <v>43</v>
      </c>
      <c r="G15" s="6"/>
      <c r="H15" s="10">
        <v>13</v>
      </c>
      <c r="I15" s="11" t="str">
        <f>IF(OR(D15="",G15=""),"",D15*(1+G15)*H15)</f>
        <v/>
      </c>
      <c r="J15" s="11" t="str">
        <f>IF(D15="","",D15*F15+IF(G15="",0,D15*(1+G15)*H15))</f>
        <v/>
      </c>
      <c r="K15" s="11"/>
    </row>
    <row r="16" spans="1:11" ht="22.2" customHeight="1" x14ac:dyDescent="0.3">
      <c r="A16" s="44" t="s">
        <v>24</v>
      </c>
      <c r="B16" s="42"/>
      <c r="C16" s="42"/>
      <c r="D16" s="42"/>
      <c r="E16" s="42"/>
      <c r="F16" s="42"/>
      <c r="G16" s="42"/>
      <c r="H16" s="42"/>
      <c r="I16" s="43"/>
      <c r="J16" s="12">
        <f>SUM(J14:J15)</f>
        <v>0</v>
      </c>
      <c r="K16" s="12">
        <f>SUM(K14:K15)</f>
        <v>0</v>
      </c>
    </row>
    <row r="17" spans="1:11" ht="6" customHeight="1" x14ac:dyDescent="0.3">
      <c r="A17" s="40"/>
      <c r="B17" s="40"/>
      <c r="C17" s="40"/>
      <c r="D17" s="40"/>
      <c r="E17" s="40"/>
      <c r="F17" s="40"/>
      <c r="G17" s="40"/>
      <c r="H17" s="40"/>
      <c r="I17" s="40"/>
      <c r="J17" s="40"/>
    </row>
    <row r="18" spans="1:11" ht="19.95" customHeight="1" x14ac:dyDescent="0.3">
      <c r="A18" s="45" t="s">
        <v>25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</row>
    <row r="19" spans="1:11" ht="40.200000000000003" customHeight="1" x14ac:dyDescent="0.3">
      <c r="A19" s="1" t="s">
        <v>2</v>
      </c>
      <c r="B19" s="1" t="s">
        <v>3</v>
      </c>
      <c r="C19" s="1" t="s">
        <v>4</v>
      </c>
      <c r="D19" s="1" t="s">
        <v>5</v>
      </c>
      <c r="E19" s="1" t="s">
        <v>6</v>
      </c>
      <c r="F19" s="1" t="s">
        <v>7</v>
      </c>
      <c r="G19" s="1" t="s">
        <v>8</v>
      </c>
      <c r="H19" s="1" t="s">
        <v>9</v>
      </c>
      <c r="I19" s="1" t="s">
        <v>10</v>
      </c>
      <c r="J19" s="1" t="s">
        <v>11</v>
      </c>
      <c r="K19" s="1" t="s">
        <v>76</v>
      </c>
    </row>
    <row r="20" spans="1:11" ht="25.95" customHeight="1" x14ac:dyDescent="0.3">
      <c r="A20" s="2">
        <v>1</v>
      </c>
      <c r="B20" s="3" t="s">
        <v>26</v>
      </c>
      <c r="C20" s="3" t="s">
        <v>27</v>
      </c>
      <c r="D20" s="4"/>
      <c r="E20" s="2">
        <v>1</v>
      </c>
      <c r="F20" s="5">
        <v>31</v>
      </c>
      <c r="G20" s="6"/>
      <c r="H20" s="5">
        <v>13</v>
      </c>
      <c r="I20" s="7" t="str">
        <f>IF(OR(D20="",G20=""),"",D20*(1+G20)*H20)</f>
        <v/>
      </c>
      <c r="J20" s="7" t="str">
        <f>IF(D20="","",D20*F20+IF(G20="",0,D20*(1+G20)*H20))</f>
        <v/>
      </c>
      <c r="K20" s="7"/>
    </row>
    <row r="21" spans="1:11" ht="22.2" customHeight="1" x14ac:dyDescent="0.3">
      <c r="A21" s="44" t="s">
        <v>28</v>
      </c>
      <c r="B21" s="42"/>
      <c r="C21" s="42"/>
      <c r="D21" s="42"/>
      <c r="E21" s="42"/>
      <c r="F21" s="42"/>
      <c r="G21" s="42"/>
      <c r="H21" s="42"/>
      <c r="I21" s="43"/>
      <c r="J21" s="12">
        <f>SUM(J20:J20)</f>
        <v>0</v>
      </c>
      <c r="K21" s="12">
        <f>SUM(K20:K20)</f>
        <v>0</v>
      </c>
    </row>
    <row r="22" spans="1:11" ht="6" customHeight="1" x14ac:dyDescent="0.3">
      <c r="A22" s="40"/>
      <c r="B22" s="40"/>
      <c r="C22" s="40"/>
      <c r="D22" s="40"/>
      <c r="E22" s="40"/>
      <c r="F22" s="40"/>
      <c r="G22" s="40"/>
      <c r="H22" s="40"/>
      <c r="I22" s="40"/>
      <c r="J22" s="40"/>
    </row>
    <row r="23" spans="1:11" ht="19.95" customHeight="1" x14ac:dyDescent="0.3">
      <c r="A23" s="45" t="s">
        <v>29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</row>
    <row r="24" spans="1:11" ht="13.8" customHeight="1" x14ac:dyDescent="0.3">
      <c r="A24" s="54" t="s">
        <v>30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</row>
    <row r="25" spans="1:11" ht="40.200000000000003" customHeight="1" x14ac:dyDescent="0.3">
      <c r="A25" s="1" t="s">
        <v>2</v>
      </c>
      <c r="B25" s="1" t="s">
        <v>31</v>
      </c>
      <c r="C25" s="1" t="s">
        <v>32</v>
      </c>
      <c r="D25" s="1" t="s">
        <v>33</v>
      </c>
      <c r="E25" s="1" t="s">
        <v>34</v>
      </c>
      <c r="F25" s="1" t="s">
        <v>35</v>
      </c>
      <c r="G25" s="1" t="s">
        <v>35</v>
      </c>
      <c r="H25" s="1" t="s">
        <v>35</v>
      </c>
      <c r="I25" s="1" t="s">
        <v>35</v>
      </c>
      <c r="J25" s="1" t="s">
        <v>11</v>
      </c>
      <c r="K25" s="1" t="s">
        <v>76</v>
      </c>
    </row>
    <row r="26" spans="1:11" ht="25.95" customHeight="1" x14ac:dyDescent="0.3">
      <c r="A26" s="2">
        <v>1</v>
      </c>
      <c r="B26" s="3" t="s">
        <v>36</v>
      </c>
      <c r="C26" s="3" t="s">
        <v>37</v>
      </c>
      <c r="D26" s="4"/>
      <c r="E26" s="2">
        <v>1</v>
      </c>
      <c r="F26" s="2" t="s">
        <v>35</v>
      </c>
      <c r="G26" s="2" t="s">
        <v>35</v>
      </c>
      <c r="H26" s="2" t="s">
        <v>35</v>
      </c>
      <c r="I26" s="2" t="s">
        <v>35</v>
      </c>
      <c r="J26" s="7" t="str">
        <f>IF(D26="","",D26*E26)</f>
        <v/>
      </c>
      <c r="K26" s="7"/>
    </row>
    <row r="27" spans="1:11" ht="25.95" customHeight="1" x14ac:dyDescent="0.3">
      <c r="A27" s="8">
        <v>2</v>
      </c>
      <c r="B27" s="9" t="s">
        <v>38</v>
      </c>
      <c r="C27" s="9" t="s">
        <v>39</v>
      </c>
      <c r="D27" s="4"/>
      <c r="E27" s="8">
        <v>1</v>
      </c>
      <c r="F27" s="8" t="s">
        <v>35</v>
      </c>
      <c r="G27" s="8" t="s">
        <v>35</v>
      </c>
      <c r="H27" s="8" t="s">
        <v>35</v>
      </c>
      <c r="I27" s="8" t="s">
        <v>35</v>
      </c>
      <c r="J27" s="11" t="str">
        <f>IF(D27="","",D27*E27)</f>
        <v/>
      </c>
      <c r="K27" s="11"/>
    </row>
    <row r="28" spans="1:11" ht="25.95" customHeight="1" x14ac:dyDescent="0.3">
      <c r="A28" s="2">
        <v>3</v>
      </c>
      <c r="B28" s="3" t="s">
        <v>40</v>
      </c>
      <c r="C28" s="3" t="s">
        <v>41</v>
      </c>
      <c r="D28" s="4"/>
      <c r="E28" s="2">
        <v>1</v>
      </c>
      <c r="F28" s="2" t="s">
        <v>35</v>
      </c>
      <c r="G28" s="2" t="s">
        <v>35</v>
      </c>
      <c r="H28" s="2" t="s">
        <v>35</v>
      </c>
      <c r="I28" s="2" t="s">
        <v>35</v>
      </c>
      <c r="J28" s="7" t="str">
        <f>IF(D28="","",D28*E28)</f>
        <v/>
      </c>
      <c r="K28" s="7"/>
    </row>
    <row r="29" spans="1:11" ht="25.95" customHeight="1" x14ac:dyDescent="0.3">
      <c r="A29" s="8">
        <v>4</v>
      </c>
      <c r="B29" s="9" t="s">
        <v>42</v>
      </c>
      <c r="C29" s="9" t="s">
        <v>43</v>
      </c>
      <c r="D29" s="4"/>
      <c r="E29" s="8">
        <v>1</v>
      </c>
      <c r="F29" s="8" t="s">
        <v>35</v>
      </c>
      <c r="G29" s="8" t="s">
        <v>35</v>
      </c>
      <c r="H29" s="8" t="s">
        <v>35</v>
      </c>
      <c r="I29" s="8" t="s">
        <v>35</v>
      </c>
      <c r="J29" s="11" t="str">
        <f>IF(D29="","",D29*E29)</f>
        <v/>
      </c>
      <c r="K29" s="11"/>
    </row>
    <row r="30" spans="1:11" ht="22.2" customHeight="1" x14ac:dyDescent="0.3">
      <c r="A30" s="44" t="s">
        <v>44</v>
      </c>
      <c r="B30" s="42"/>
      <c r="C30" s="42"/>
      <c r="D30" s="42"/>
      <c r="E30" s="42"/>
      <c r="F30" s="42"/>
      <c r="G30" s="42"/>
      <c r="H30" s="42"/>
      <c r="I30" s="43"/>
      <c r="J30" s="12">
        <f>SUM(J26:J29)</f>
        <v>0</v>
      </c>
      <c r="K30" s="12">
        <f>SUM(K26:K29)</f>
        <v>0</v>
      </c>
    </row>
    <row r="31" spans="1:11" ht="6" customHeigh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1" ht="19.95" customHeight="1" x14ac:dyDescent="0.3">
      <c r="A32" s="45" t="s">
        <v>45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</row>
    <row r="33" spans="1:11" ht="22.65" customHeight="1" x14ac:dyDescent="0.3">
      <c r="A33" s="46" t="s">
        <v>46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</row>
    <row r="34" spans="1:11" ht="40.200000000000003" customHeight="1" x14ac:dyDescent="0.3">
      <c r="A34" s="1" t="s">
        <v>2</v>
      </c>
      <c r="B34" s="1" t="s">
        <v>47</v>
      </c>
      <c r="C34" s="1" t="s">
        <v>48</v>
      </c>
      <c r="D34" s="1" t="s">
        <v>49</v>
      </c>
      <c r="E34" s="1" t="s">
        <v>34</v>
      </c>
      <c r="F34" s="1" t="s">
        <v>35</v>
      </c>
      <c r="G34" s="1" t="s">
        <v>35</v>
      </c>
      <c r="H34" s="1" t="s">
        <v>35</v>
      </c>
      <c r="I34" s="1" t="s">
        <v>35</v>
      </c>
      <c r="J34" s="1" t="s">
        <v>11</v>
      </c>
      <c r="K34" s="1" t="s">
        <v>76</v>
      </c>
    </row>
    <row r="35" spans="1:11" ht="51.75" customHeight="1" x14ac:dyDescent="0.3">
      <c r="A35" s="2">
        <v>1</v>
      </c>
      <c r="B35" s="3" t="s">
        <v>50</v>
      </c>
      <c r="C35" s="3" t="s">
        <v>51</v>
      </c>
      <c r="D35" s="4"/>
      <c r="E35" s="13">
        <v>2</v>
      </c>
      <c r="F35" s="2" t="s">
        <v>35</v>
      </c>
      <c r="G35" s="2" t="s">
        <v>35</v>
      </c>
      <c r="H35" s="2" t="s">
        <v>35</v>
      </c>
      <c r="I35" s="2" t="s">
        <v>35</v>
      </c>
      <c r="J35" s="7" t="str">
        <f>IF(D35="","",D35*E35)</f>
        <v/>
      </c>
      <c r="K35" s="7"/>
    </row>
    <row r="36" spans="1:11" ht="51.75" customHeight="1" x14ac:dyDescent="0.3">
      <c r="A36" s="8">
        <v>2</v>
      </c>
      <c r="B36" s="9" t="s">
        <v>52</v>
      </c>
      <c r="C36" s="9" t="s">
        <v>53</v>
      </c>
      <c r="D36" s="4"/>
      <c r="E36" s="13">
        <v>1</v>
      </c>
      <c r="F36" s="8" t="s">
        <v>35</v>
      </c>
      <c r="G36" s="8" t="s">
        <v>35</v>
      </c>
      <c r="H36" s="8" t="s">
        <v>35</v>
      </c>
      <c r="I36" s="8" t="s">
        <v>35</v>
      </c>
      <c r="J36" s="11" t="str">
        <f>IF(D36="","",D36*E36)</f>
        <v/>
      </c>
      <c r="K36" s="11"/>
    </row>
    <row r="37" spans="1:11" ht="13.8" customHeight="1" x14ac:dyDescent="0.3">
      <c r="A37" s="47" t="s">
        <v>54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</row>
    <row r="38" spans="1:11" ht="22.2" customHeight="1" x14ac:dyDescent="0.3">
      <c r="A38" s="44" t="s">
        <v>55</v>
      </c>
      <c r="B38" s="42"/>
      <c r="C38" s="42"/>
      <c r="D38" s="42"/>
      <c r="E38" s="42"/>
      <c r="F38" s="42"/>
      <c r="G38" s="42"/>
      <c r="H38" s="42"/>
      <c r="I38" s="43"/>
      <c r="J38" s="12">
        <f>SUM(J35:J36)</f>
        <v>0</v>
      </c>
      <c r="K38" s="12">
        <f>SUM(K35:K36)</f>
        <v>0</v>
      </c>
    </row>
    <row r="39" spans="1:11" ht="6" customHeight="1" x14ac:dyDescent="0.3">
      <c r="A39" s="40"/>
      <c r="B39" s="40"/>
      <c r="C39" s="40"/>
      <c r="D39" s="40"/>
      <c r="E39" s="40"/>
      <c r="F39" s="40"/>
      <c r="G39" s="40"/>
      <c r="H39" s="40"/>
      <c r="I39" s="40"/>
      <c r="J39" s="40"/>
    </row>
    <row r="40" spans="1:11" ht="24" customHeight="1" x14ac:dyDescent="0.3">
      <c r="A40" s="48" t="s">
        <v>56</v>
      </c>
      <c r="B40" s="48"/>
      <c r="C40" s="48"/>
      <c r="D40" s="48"/>
      <c r="E40" s="48"/>
      <c r="F40" s="48"/>
      <c r="G40" s="48"/>
      <c r="H40" s="48"/>
      <c r="I40" s="48"/>
      <c r="J40" s="1"/>
      <c r="K40" s="1"/>
    </row>
    <row r="41" spans="1:11" ht="19.95" customHeight="1" x14ac:dyDescent="0.3">
      <c r="A41" s="41" t="s">
        <v>57</v>
      </c>
      <c r="B41" s="42"/>
      <c r="C41" s="42"/>
      <c r="D41" s="42"/>
      <c r="E41" s="42"/>
      <c r="F41" s="42"/>
      <c r="G41" s="42"/>
      <c r="H41" s="42"/>
      <c r="I41" s="43"/>
      <c r="J41" s="14">
        <f>J10</f>
        <v>0</v>
      </c>
      <c r="K41" s="14">
        <f>K10</f>
        <v>0</v>
      </c>
    </row>
    <row r="42" spans="1:11" ht="19.95" customHeight="1" x14ac:dyDescent="0.3">
      <c r="A42" s="52" t="s">
        <v>58</v>
      </c>
      <c r="B42" s="42"/>
      <c r="C42" s="42"/>
      <c r="D42" s="42"/>
      <c r="E42" s="42"/>
      <c r="F42" s="42"/>
      <c r="G42" s="42"/>
      <c r="H42" s="42"/>
      <c r="I42" s="43"/>
      <c r="J42" s="15">
        <f>J16</f>
        <v>0</v>
      </c>
      <c r="K42" s="15">
        <f>K16</f>
        <v>0</v>
      </c>
    </row>
    <row r="43" spans="1:11" ht="19.95" customHeight="1" x14ac:dyDescent="0.3">
      <c r="A43" s="41" t="s">
        <v>59</v>
      </c>
      <c r="B43" s="42"/>
      <c r="C43" s="42"/>
      <c r="D43" s="42"/>
      <c r="E43" s="42"/>
      <c r="F43" s="42"/>
      <c r="G43" s="42"/>
      <c r="H43" s="42"/>
      <c r="I43" s="43"/>
      <c r="J43" s="14">
        <f>J21</f>
        <v>0</v>
      </c>
      <c r="K43" s="14">
        <f>K21</f>
        <v>0</v>
      </c>
    </row>
    <row r="44" spans="1:11" ht="19.95" customHeight="1" x14ac:dyDescent="0.3">
      <c r="A44" s="52" t="s">
        <v>60</v>
      </c>
      <c r="B44" s="42"/>
      <c r="C44" s="42"/>
      <c r="D44" s="42"/>
      <c r="E44" s="42"/>
      <c r="F44" s="42"/>
      <c r="G44" s="42"/>
      <c r="H44" s="42"/>
      <c r="I44" s="43"/>
      <c r="J44" s="15">
        <f>J30</f>
        <v>0</v>
      </c>
      <c r="K44" s="15">
        <f>K30</f>
        <v>0</v>
      </c>
    </row>
    <row r="45" spans="1:11" ht="19.95" customHeight="1" x14ac:dyDescent="0.3">
      <c r="A45" s="41" t="s">
        <v>61</v>
      </c>
      <c r="B45" s="42"/>
      <c r="C45" s="42"/>
      <c r="D45" s="42"/>
      <c r="E45" s="42"/>
      <c r="F45" s="42"/>
      <c r="G45" s="42"/>
      <c r="H45" s="42"/>
      <c r="I45" s="43"/>
      <c r="J45" s="14">
        <f>J38</f>
        <v>0</v>
      </c>
      <c r="K45" s="14">
        <f>K38</f>
        <v>0</v>
      </c>
    </row>
    <row r="46" spans="1:11" ht="24" customHeight="1" x14ac:dyDescent="0.3">
      <c r="A46" s="53" t="s">
        <v>77</v>
      </c>
      <c r="B46" s="42"/>
      <c r="C46" s="42"/>
      <c r="D46" s="42"/>
      <c r="E46" s="42"/>
      <c r="F46" s="42"/>
      <c r="G46" s="42"/>
      <c r="H46" s="42"/>
      <c r="I46" s="43"/>
      <c r="J46" s="16">
        <f>SUM(J41:J45)</f>
        <v>0</v>
      </c>
      <c r="K46" s="16">
        <f>SUM(K41:K45)</f>
        <v>0</v>
      </c>
    </row>
    <row r="47" spans="1:11" ht="14.4" x14ac:dyDescent="0.3"/>
    <row r="48" spans="1:11" ht="15" customHeight="1" x14ac:dyDescent="0.3">
      <c r="A48" s="39" t="s">
        <v>74</v>
      </c>
    </row>
  </sheetData>
  <mergeCells count="29">
    <mergeCell ref="A44:I44"/>
    <mergeCell ref="A46:I46"/>
    <mergeCell ref="A22:J22"/>
    <mergeCell ref="A17:J17"/>
    <mergeCell ref="A45:I45"/>
    <mergeCell ref="A38:I38"/>
    <mergeCell ref="A31:J31"/>
    <mergeCell ref="A43:I43"/>
    <mergeCell ref="A42:I42"/>
    <mergeCell ref="A18:K18"/>
    <mergeCell ref="A23:K23"/>
    <mergeCell ref="A24:K24"/>
    <mergeCell ref="A32:K32"/>
    <mergeCell ref="A10:I10"/>
    <mergeCell ref="A4:J4"/>
    <mergeCell ref="A3:J3"/>
    <mergeCell ref="A5:K5"/>
    <mergeCell ref="A1:K1"/>
    <mergeCell ref="A2:K2"/>
    <mergeCell ref="A11:J11"/>
    <mergeCell ref="A41:I41"/>
    <mergeCell ref="A21:I21"/>
    <mergeCell ref="A16:I16"/>
    <mergeCell ref="A30:I30"/>
    <mergeCell ref="A39:J39"/>
    <mergeCell ref="A12:K12"/>
    <mergeCell ref="A33:K33"/>
    <mergeCell ref="A37:K37"/>
    <mergeCell ref="A40:I40"/>
  </mergeCells>
  <pageMargins left="0.74803149606299213" right="0.74803149606299213" top="0.98425196850393704" bottom="0.98425196850393704" header="0.51181102362204722" footer="0.51181102362204722"/>
  <pageSetup paperSize="9" scale="4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showGridLines="0" workbookViewId="0">
      <pane ySplit="3" topLeftCell="A4" activePane="bottomLeft" state="frozen"/>
      <selection pane="bottomLeft" sqref="A1:H1"/>
    </sheetView>
  </sheetViews>
  <sheetFormatPr baseColWidth="10" defaultColWidth="8.77734375" defaultRowHeight="14.4" x14ac:dyDescent="0.3"/>
  <cols>
    <col min="1" max="1" width="4" customWidth="1"/>
    <col min="2" max="2" width="28" customWidth="1"/>
    <col min="3" max="3" width="20" customWidth="1"/>
    <col min="4" max="5" width="16" customWidth="1"/>
    <col min="6" max="6" width="20" customWidth="1"/>
    <col min="7" max="7" width="14" customWidth="1"/>
    <col min="8" max="8" width="20" customWidth="1"/>
  </cols>
  <sheetData>
    <row r="1" spans="1:8" ht="28.2" customHeight="1" x14ac:dyDescent="0.3">
      <c r="A1" s="50" t="s">
        <v>62</v>
      </c>
      <c r="B1" s="40"/>
      <c r="C1" s="40"/>
      <c r="D1" s="40"/>
      <c r="E1" s="40"/>
      <c r="F1" s="40"/>
      <c r="G1" s="40"/>
      <c r="H1" s="40"/>
    </row>
    <row r="2" spans="1:8" ht="13.8" customHeight="1" x14ac:dyDescent="0.3">
      <c r="A2" s="55" t="s">
        <v>63</v>
      </c>
      <c r="B2" s="40"/>
      <c r="C2" s="40"/>
      <c r="D2" s="40"/>
      <c r="E2" s="40"/>
      <c r="F2" s="40"/>
      <c r="G2" s="40"/>
      <c r="H2" s="40"/>
    </row>
    <row r="3" spans="1:8" ht="28.2" customHeight="1" x14ac:dyDescent="0.3">
      <c r="A3" s="1" t="s">
        <v>2</v>
      </c>
      <c r="B3" s="1" t="s">
        <v>64</v>
      </c>
      <c r="C3" s="1" t="s">
        <v>65</v>
      </c>
      <c r="D3" s="1" t="s">
        <v>3</v>
      </c>
      <c r="E3" s="1" t="s">
        <v>66</v>
      </c>
      <c r="F3" s="1" t="s">
        <v>67</v>
      </c>
      <c r="G3" s="1" t="s">
        <v>68</v>
      </c>
      <c r="H3" s="1" t="s">
        <v>69</v>
      </c>
    </row>
    <row r="4" spans="1:8" ht="19.95" customHeight="1" x14ac:dyDescent="0.3">
      <c r="A4" s="2">
        <v>1</v>
      </c>
      <c r="B4" s="17"/>
      <c r="C4" s="18" t="s">
        <v>70</v>
      </c>
      <c r="D4" s="2" t="s">
        <v>12</v>
      </c>
      <c r="E4" s="19"/>
      <c r="F4" s="17"/>
      <c r="G4" s="19"/>
      <c r="H4" s="17"/>
    </row>
    <row r="5" spans="1:8" ht="19.95" customHeight="1" x14ac:dyDescent="0.3">
      <c r="A5" s="8">
        <v>2</v>
      </c>
      <c r="B5" s="20"/>
      <c r="C5" s="21" t="s">
        <v>70</v>
      </c>
      <c r="D5" s="8" t="s">
        <v>12</v>
      </c>
      <c r="E5" s="22"/>
      <c r="F5" s="20"/>
      <c r="G5" s="22"/>
      <c r="H5" s="20"/>
    </row>
    <row r="6" spans="1:8" ht="19.95" customHeight="1" x14ac:dyDescent="0.3">
      <c r="A6" s="2">
        <v>3</v>
      </c>
      <c r="B6" s="17"/>
      <c r="C6" s="18" t="s">
        <v>70</v>
      </c>
      <c r="D6" s="2" t="s">
        <v>14</v>
      </c>
      <c r="E6" s="19"/>
      <c r="F6" s="17"/>
      <c r="G6" s="19"/>
      <c r="H6" s="17"/>
    </row>
    <row r="7" spans="1:8" ht="19.95" customHeight="1" x14ac:dyDescent="0.3">
      <c r="A7" s="8">
        <v>4</v>
      </c>
      <c r="B7" s="20"/>
      <c r="C7" s="21" t="s">
        <v>70</v>
      </c>
      <c r="D7" s="8" t="s">
        <v>16</v>
      </c>
      <c r="E7" s="22"/>
      <c r="F7" s="20"/>
      <c r="G7" s="22"/>
      <c r="H7" s="20"/>
    </row>
    <row r="8" spans="1:8" ht="19.95" customHeight="1" x14ac:dyDescent="0.3">
      <c r="A8" s="2">
        <v>5</v>
      </c>
      <c r="B8" s="17"/>
      <c r="C8" s="18" t="s">
        <v>71</v>
      </c>
      <c r="D8" s="2" t="s">
        <v>20</v>
      </c>
      <c r="E8" s="19"/>
      <c r="F8" s="17"/>
      <c r="G8" s="19"/>
      <c r="H8" s="17"/>
    </row>
    <row r="9" spans="1:8" ht="19.95" customHeight="1" x14ac:dyDescent="0.3">
      <c r="A9" s="8">
        <v>6</v>
      </c>
      <c r="B9" s="20"/>
      <c r="C9" s="21" t="s">
        <v>71</v>
      </c>
      <c r="D9" s="8" t="s">
        <v>20</v>
      </c>
      <c r="E9" s="22"/>
      <c r="F9" s="20"/>
      <c r="G9" s="22"/>
      <c r="H9" s="20"/>
    </row>
    <row r="10" spans="1:8" ht="19.95" customHeight="1" x14ac:dyDescent="0.3">
      <c r="A10" s="2">
        <v>7</v>
      </c>
      <c r="B10" s="17"/>
      <c r="C10" s="18" t="s">
        <v>71</v>
      </c>
      <c r="D10" s="2" t="s">
        <v>72</v>
      </c>
      <c r="E10" s="19"/>
      <c r="F10" s="17"/>
      <c r="G10" s="19"/>
      <c r="H10" s="17"/>
    </row>
    <row r="11" spans="1:8" ht="19.95" customHeight="1" x14ac:dyDescent="0.3">
      <c r="A11" s="8">
        <v>8</v>
      </c>
      <c r="B11" s="20"/>
      <c r="C11" s="21" t="s">
        <v>73</v>
      </c>
      <c r="D11" s="8" t="s">
        <v>26</v>
      </c>
      <c r="E11" s="22"/>
      <c r="F11" s="20"/>
      <c r="G11" s="22"/>
      <c r="H11" s="20"/>
    </row>
    <row r="12" spans="1:8" ht="19.95" customHeight="1" x14ac:dyDescent="0.3">
      <c r="A12" s="23">
        <v>9</v>
      </c>
      <c r="B12" s="24"/>
      <c r="C12" s="24"/>
      <c r="D12" s="24"/>
      <c r="E12" s="24"/>
      <c r="F12" s="24"/>
      <c r="G12" s="24"/>
      <c r="H12" s="24"/>
    </row>
    <row r="13" spans="1:8" ht="19.95" customHeight="1" x14ac:dyDescent="0.3">
      <c r="A13" s="25">
        <v>10</v>
      </c>
      <c r="B13" s="26"/>
      <c r="C13" s="26"/>
      <c r="D13" s="26"/>
      <c r="E13" s="26"/>
      <c r="F13" s="26"/>
      <c r="G13" s="26"/>
      <c r="H13" s="26"/>
    </row>
    <row r="14" spans="1:8" ht="19.95" customHeight="1" x14ac:dyDescent="0.3">
      <c r="A14" s="23">
        <v>11</v>
      </c>
      <c r="B14" s="24"/>
      <c r="C14" s="24"/>
      <c r="D14" s="24"/>
      <c r="E14" s="24"/>
      <c r="F14" s="24"/>
      <c r="G14" s="24"/>
      <c r="H14" s="24"/>
    </row>
    <row r="15" spans="1:8" ht="19.95" customHeight="1" x14ac:dyDescent="0.3">
      <c r="A15" s="25">
        <v>12</v>
      </c>
      <c r="B15" s="26"/>
      <c r="C15" s="26"/>
      <c r="D15" s="26"/>
      <c r="E15" s="26"/>
      <c r="F15" s="26"/>
      <c r="G15" s="26"/>
      <c r="H15" s="26"/>
    </row>
    <row r="16" spans="1:8" ht="19.95" customHeight="1" x14ac:dyDescent="0.3">
      <c r="A16" s="23">
        <v>13</v>
      </c>
      <c r="B16" s="24"/>
      <c r="C16" s="24"/>
      <c r="D16" s="24"/>
      <c r="E16" s="24"/>
      <c r="F16" s="24"/>
      <c r="G16" s="24"/>
      <c r="H16" s="24"/>
    </row>
  </sheetData>
  <mergeCells count="2">
    <mergeCell ref="A2:H2"/>
    <mergeCell ref="A1:H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6c7bf8-4ce7-4db2-81a6-3f2fb3ee6412">
      <Terms xmlns="http://schemas.microsoft.com/office/infopath/2007/PartnerControls"/>
    </lcf76f155ced4ddcb4097134ff3c332f>
    <TaxCatchAll xmlns="cf1c41ac-5426-47ae-a216-78ef3a736f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ED3DDA1174714AA8A0ADD53719743E" ma:contentTypeVersion="10" ma:contentTypeDescription="Crear nuevo documento." ma:contentTypeScope="" ma:versionID="ba225e06a36ee55f4dded745d06045e9">
  <xsd:schema xmlns:xsd="http://www.w3.org/2001/XMLSchema" xmlns:xs="http://www.w3.org/2001/XMLSchema" xmlns:p="http://schemas.microsoft.com/office/2006/metadata/properties" xmlns:ns2="7b6c7bf8-4ce7-4db2-81a6-3f2fb3ee6412" xmlns:ns3="cf1c41ac-5426-47ae-a216-78ef3a736f94" targetNamespace="http://schemas.microsoft.com/office/2006/metadata/properties" ma:root="true" ma:fieldsID="80cdbe2e6ba9db2b3b4464925d0e7b98" ns2:_="" ns3:_="">
    <xsd:import namespace="7b6c7bf8-4ce7-4db2-81a6-3f2fb3ee6412"/>
    <xsd:import namespace="cf1c41ac-5426-47ae-a216-78ef3a736f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c7bf8-4ce7-4db2-81a6-3f2fb3ee64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05bde99-f911-48db-a36f-21ff87b478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c41ac-5426-47ae-a216-78ef3a736f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d6f33e-8020-4e03-9a6f-497468dfdacc}" ma:internalName="TaxCatchAll" ma:showField="CatchAllData" ma:web="cf1c41ac-5426-47ae-a216-78ef3a736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2B71E7-9B5C-46E7-962F-A20E83C5BF85}">
  <ds:schemaRefs>
    <ds:schemaRef ds:uri="http://schemas.microsoft.com/office/2006/metadata/properties"/>
    <ds:schemaRef ds:uri="http://schemas.microsoft.com/office/infopath/2007/PartnerControls"/>
    <ds:schemaRef ds:uri="64cfb398-c3be-40f5-8880-713c03623c5b"/>
    <ds:schemaRef ds:uri="65f36634-cd96-426c-8938-a4be8d401c16"/>
    <ds:schemaRef ds:uri="7b6c7bf8-4ce7-4db2-81a6-3f2fb3ee6412"/>
    <ds:schemaRef ds:uri="cf1c41ac-5426-47ae-a216-78ef3a736f94"/>
  </ds:schemaRefs>
</ds:datastoreItem>
</file>

<file path=customXml/itemProps2.xml><?xml version="1.0" encoding="utf-8"?>
<ds:datastoreItem xmlns:ds="http://schemas.openxmlformats.org/officeDocument/2006/customXml" ds:itemID="{09A34B2A-0A42-4ECA-AA2B-422D29ED5C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56276D-3E83-470E-B4CC-78662565F3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6c7bf8-4ce7-4db2-81a6-3f2fb3ee6412"/>
    <ds:schemaRef ds:uri="cf1c41ac-5426-47ae-a216-78ef3a736f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Cotización HH</vt:lpstr>
      <vt:lpstr>Nómina de Personal</vt:lpstr>
      <vt:lpstr>'Cotización HH'!Títulos_a_imprimir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Sebastien Martinet (IMA Argentina - Holdas Latam)</cp:lastModifiedBy>
  <cp:revision/>
  <cp:lastPrinted>2026-06-09T15:10:28Z</cp:lastPrinted>
  <dcterms:created xsi:type="dcterms:W3CDTF">2026-04-16T21:18:15Z</dcterms:created>
  <dcterms:modified xsi:type="dcterms:W3CDTF">2026-06-09T15:12:00Z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0x01010018ED3DDA1174714AA8A0ADD53719743E</vt:lpwstr>
  </property>
  <property fmtid="{D5CDD505-2E9C-101B-9397-08002B2CF9AE}" pid="3" name="MediaServiceImageTags">
    <vt:lpwstr/>
  </property>
</Properties>
</file>